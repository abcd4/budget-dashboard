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 26" sheetId="1" r:id="rId5"/>
    <sheet state="visible" name="MAR 26" sheetId="2" r:id="rId6"/>
    <sheet state="visible" name="APR 26" sheetId="3" r:id="rId7"/>
  </sheets>
  <definedNames>
    <definedName hidden="1" localSheetId="0" name="_xlnm._FilterDatabase">'FEB 26'!$A$1:$G$15</definedName>
  </definedNames>
  <calcPr/>
</workbook>
</file>

<file path=xl/sharedStrings.xml><?xml version="1.0" encoding="utf-8"?>
<sst xmlns="http://schemas.openxmlformats.org/spreadsheetml/2006/main" count="336" uniqueCount="132">
  <si>
    <t>Income</t>
  </si>
  <si>
    <t>Amout Received</t>
  </si>
  <si>
    <t>Category</t>
  </si>
  <si>
    <t>Date Received</t>
  </si>
  <si>
    <t>Approved</t>
  </si>
  <si>
    <t>Related files</t>
  </si>
  <si>
    <t>Notes</t>
  </si>
  <si>
    <t>Expense</t>
  </si>
  <si>
    <t>Amount Spent</t>
  </si>
  <si>
    <t>Date of Expense</t>
  </si>
  <si>
    <t>Expense Category Total</t>
  </si>
  <si>
    <t>Total Transactions</t>
  </si>
  <si>
    <t>Total Spent</t>
  </si>
  <si>
    <t>Ideal Budget for the Month</t>
  </si>
  <si>
    <t>Difference</t>
  </si>
  <si>
    <t>January Cash Flow</t>
  </si>
  <si>
    <t>Other</t>
  </si>
  <si>
    <t>Chick Fil-A</t>
  </si>
  <si>
    <t>Food</t>
  </si>
  <si>
    <t>Debt</t>
  </si>
  <si>
    <t>FXW Paycheck</t>
  </si>
  <si>
    <t>FXW Job</t>
  </si>
  <si>
    <t>Cafe L'Appetito</t>
  </si>
  <si>
    <t>NOT SURE WHAT THIS IS</t>
  </si>
  <si>
    <t>Zelle to Reyshell for SLS</t>
  </si>
  <si>
    <t>Travel</t>
  </si>
  <si>
    <t>Giving</t>
  </si>
  <si>
    <t>Zelle from Dad</t>
  </si>
  <si>
    <t>Zelle, Cashapp, Etc.</t>
  </si>
  <si>
    <t>Uber Eats Lunch (Sushi + Juice)</t>
  </si>
  <si>
    <t>Health</t>
  </si>
  <si>
    <t xml:space="preserve">Zelle from Mom (200 Peninsula Gift Card, 250 Loan) </t>
  </si>
  <si>
    <t>Uber Charge (Dinner w Nina)</t>
  </si>
  <si>
    <t>Transportation</t>
  </si>
  <si>
    <t>Investment/Smart Finances</t>
  </si>
  <si>
    <t>Pineapple Juice + Cup Whole Foods</t>
  </si>
  <si>
    <t>Personal</t>
  </si>
  <si>
    <t>Zelle to Nina for Sister Dinner</t>
  </si>
  <si>
    <t>Subscriptions</t>
  </si>
  <si>
    <t>Potbelly's</t>
  </si>
  <si>
    <t>Ventra Weekly Pass</t>
  </si>
  <si>
    <t>Latte from Wormhole Coffee</t>
  </si>
  <si>
    <t>Unsure: FIND OUT</t>
  </si>
  <si>
    <t>Thrifting @ Ragstock</t>
  </si>
  <si>
    <t>Thrifting @ 2nd Street</t>
  </si>
  <si>
    <t>Thrifting @ Buffalo Exchange</t>
  </si>
  <si>
    <t>Zelle to Someone Raising Money</t>
  </si>
  <si>
    <t>TOTAL CASH FLOW</t>
  </si>
  <si>
    <t>Big Shoulders Cafe</t>
  </si>
  <si>
    <t>Nando's</t>
  </si>
  <si>
    <t>Lyft</t>
  </si>
  <si>
    <t>Uber Eats</t>
  </si>
  <si>
    <t>Item I Want</t>
  </si>
  <si>
    <t>Cost</t>
  </si>
  <si>
    <t>Apple Bill</t>
  </si>
  <si>
    <t>debts</t>
  </si>
  <si>
    <t>makeup</t>
  </si>
  <si>
    <t>Zelle to Nina</t>
  </si>
  <si>
    <t>clothing</t>
  </si>
  <si>
    <t>Pizza Hut @ Target</t>
  </si>
  <si>
    <t>ski jaquet</t>
  </si>
  <si>
    <t>Drip Collective</t>
  </si>
  <si>
    <t>bottles</t>
  </si>
  <si>
    <t>Syringe @ Walgreens</t>
  </si>
  <si>
    <t>hair</t>
  </si>
  <si>
    <t>Mano Modern Cafe</t>
  </si>
  <si>
    <t>Bellybowl</t>
  </si>
  <si>
    <t>Loan Payment</t>
  </si>
  <si>
    <t>Funds Left Over</t>
  </si>
  <si>
    <t>CC Payment (Due 2/23)</t>
  </si>
  <si>
    <t>Lunch @ Whole Foods</t>
  </si>
  <si>
    <t>Peninsula GC + $10 Return for Mom</t>
  </si>
  <si>
    <t>Extra Tokens for Gala</t>
  </si>
  <si>
    <t>Zelle to Keshaun (sweet lady who needed somewhere to stay)</t>
  </si>
  <si>
    <t>Uber Eats Lunch</t>
  </si>
  <si>
    <t>Jewel Osco + Deli Trip</t>
  </si>
  <si>
    <t>Coffee Ingredients (Jewel &amp; Trader Joes)</t>
  </si>
  <si>
    <t>Ski Suit (Depop)</t>
  </si>
  <si>
    <t>Tacos</t>
  </si>
  <si>
    <t>Uber Trip Charge</t>
  </si>
  <si>
    <t>Whole Foods Trip (shampoo + mushrooms)</t>
  </si>
  <si>
    <t>Micellar Water @ Jewel</t>
  </si>
  <si>
    <t>Spotify Subscription</t>
  </si>
  <si>
    <t>Gala Lyft Ride</t>
  </si>
  <si>
    <t>Column 1</t>
  </si>
  <si>
    <t>Column 2</t>
  </si>
  <si>
    <t>Column 3</t>
  </si>
  <si>
    <t>Column 4</t>
  </si>
  <si>
    <t>Column 5</t>
  </si>
  <si>
    <t>Column 6</t>
  </si>
  <si>
    <t>February Cash Flow</t>
  </si>
  <si>
    <t>Venmo -&gt; BofA (Patrick Ta from Nina, Venmo from Jonathan I think)</t>
  </si>
  <si>
    <t>Epic Burger Lunch</t>
  </si>
  <si>
    <t>Money from Grandma</t>
  </si>
  <si>
    <t>Ventra Card</t>
  </si>
  <si>
    <t>Zelle from Zina for Amazon</t>
  </si>
  <si>
    <t>Lyft Ride</t>
  </si>
  <si>
    <t>Cafe Deko</t>
  </si>
  <si>
    <t>Zelle from Zina</t>
  </si>
  <si>
    <t>Columbia Jacket</t>
  </si>
  <si>
    <t>Overflow Coffee</t>
  </si>
  <si>
    <t>Water @ LA Fitness</t>
  </si>
  <si>
    <t>Noodles and Company</t>
  </si>
  <si>
    <t>Zina's Amazon Package</t>
  </si>
  <si>
    <t>Zelle to Nina for Boba</t>
  </si>
  <si>
    <t>Fashion Nova Cart</t>
  </si>
  <si>
    <t>Bus Ride for Stranger</t>
  </si>
  <si>
    <t>Winter Activity Insurance</t>
  </si>
  <si>
    <t>Tallboy Taco</t>
  </si>
  <si>
    <t>Fulain Sew in by Kia</t>
  </si>
  <si>
    <t>7-Eleven (food for less fortunate)</t>
  </si>
  <si>
    <t>CVS Eyeliner</t>
  </si>
  <si>
    <t>Amazon Order</t>
  </si>
  <si>
    <t>White Headband from Nordstrom Rack</t>
  </si>
  <si>
    <t>Airport Purchases</t>
  </si>
  <si>
    <t>Duty Free Bottles</t>
  </si>
  <si>
    <t>IST Airport Purchases</t>
  </si>
  <si>
    <t>SLS Grocery Expenses + International Fees</t>
  </si>
  <si>
    <t>food</t>
  </si>
  <si>
    <t>bills</t>
  </si>
  <si>
    <t>CC Payment</t>
  </si>
  <si>
    <t>ZRH Aiport Expenses</t>
  </si>
  <si>
    <t>IST Airport Purchases + International Fees</t>
  </si>
  <si>
    <t>Goddess and the Grocer Burrito</t>
  </si>
  <si>
    <t>March Cash Flow</t>
  </si>
  <si>
    <t>SLS Zelle from Reyshell</t>
  </si>
  <si>
    <t>Water @ Sbarro</t>
  </si>
  <si>
    <t>SLS Zelle from Srina</t>
  </si>
  <si>
    <t>Zelle to Reyshell</t>
  </si>
  <si>
    <t>Zelle to Ava</t>
  </si>
  <si>
    <t>Beauty Supple Store</t>
  </si>
  <si>
    <t>Sushi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</si>
</sst>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Roboto"/>
    </font>
    <font>
      <color theme="1"/>
      <name val="Arial"/>
    </font>
    <font>
      <color rgb="FF3E4186"/>
      <name val="Roboto"/>
    </font>
    <font>
      <color rgb="FF423671"/>
      <name val="Roboto"/>
    </font>
    <font>
      <color rgb="FF4B3C74"/>
      <name val="Roboto"/>
    </font>
    <font>
      <color rgb="FF363871"/>
      <name val="Roboto"/>
    </font>
    <font>
      <b/>
      <color theme="1"/>
      <name val="Arial"/>
    </font>
    <font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6CFE0"/>
        <bgColor rgb="FFD6CFE0"/>
      </patternFill>
    </fill>
  </fills>
  <borders count="10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</border>
    <border>
      <left style="thin">
        <color rgb="FF442F65"/>
      </left>
      <right style="thin">
        <color rgb="FFD6CFE0"/>
      </right>
      <top>
        <color rgb="FF442F65"/>
      </top>
      <bottom style="thin">
        <color rgb="FF442F65"/>
      </bottom>
    </border>
    <border>
      <left style="thin">
        <color rgb="FFD6CFE0"/>
      </left>
      <right style="thin">
        <color rgb="FFD6CFE0"/>
      </right>
      <top>
        <color rgb="FF442F65"/>
      </top>
      <bottom style="thin">
        <color rgb="FF442F65"/>
      </bottom>
    </border>
    <border>
      <left style="thin">
        <color rgb="FFD6CFE0"/>
      </left>
      <right style="thin">
        <color rgb="FF442F65"/>
      </right>
      <top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shrinkToFit="0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Font="1"/>
    <xf borderId="1" fillId="2" fontId="4" numFmtId="49" xfId="0" applyAlignment="1" applyBorder="1" applyFill="1" applyFont="1" applyNumberForma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3" fillId="2" fontId="4" numFmtId="0" xfId="0" applyAlignment="1" applyBorder="1" applyFont="1">
      <alignment readingOrder="0" shrinkToFit="0" vertical="center" wrapText="0"/>
    </xf>
    <xf borderId="4" fillId="3" fontId="4" numFmtId="0" xfId="0" applyAlignment="1" applyBorder="1" applyFill="1" applyFont="1">
      <alignment readingOrder="0" shrinkToFit="0" vertical="center" wrapText="0"/>
    </xf>
    <xf borderId="5" fillId="3" fontId="6" numFmtId="0" xfId="0" applyAlignment="1" applyBorder="1" applyFont="1">
      <alignment readingOrder="0" shrinkToFit="0" vertical="center" wrapText="0"/>
    </xf>
    <xf borderId="6" fillId="3" fontId="4" numFmtId="0" xfId="0" applyAlignment="1" applyBorder="1" applyFont="1">
      <alignment readingOrder="0" shrinkToFit="0" vertical="center" wrapText="0"/>
    </xf>
    <xf borderId="2" fillId="2" fontId="7" numFmtId="0" xfId="0" applyAlignment="1" applyBorder="1" applyFont="1">
      <alignment readingOrder="0" shrinkToFit="0" vertical="center" wrapText="0"/>
    </xf>
    <xf borderId="4" fillId="3" fontId="4" numFmtId="49" xfId="0" applyAlignment="1" applyBorder="1" applyFont="1" applyNumberFormat="1">
      <alignment readingOrder="0" shrinkToFit="0" vertical="center" wrapText="0"/>
    </xf>
    <xf borderId="5" fillId="3" fontId="8" numFmtId="0" xfId="0" applyAlignment="1" applyBorder="1" applyFont="1">
      <alignment readingOrder="0" shrinkToFit="0" vertical="center" wrapText="0"/>
    </xf>
    <xf borderId="2" fillId="2" fontId="4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4" fillId="3" fontId="4" numFmtId="49" xfId="0" applyAlignment="1" applyBorder="1" applyFont="1" applyNumberForma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borderId="1" fillId="2" fontId="4" numFmtId="49" xfId="0" applyAlignment="1" applyBorder="1" applyFont="1" applyNumberForma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7" fillId="4" fontId="4" numFmtId="0" xfId="0" applyAlignment="1" applyBorder="1" applyFill="1" applyFont="1">
      <alignment shrinkToFit="0" vertical="center" wrapText="0"/>
    </xf>
    <xf borderId="8" fillId="4" fontId="4" numFmtId="0" xfId="0" applyAlignment="1" applyBorder="1" applyFont="1">
      <alignment shrinkToFit="0" vertical="center" wrapText="0"/>
    </xf>
    <xf borderId="9" fillId="4" fontId="10" numFmtId="0" xfId="0" applyAlignment="1" applyBorder="1" applyFont="1">
      <alignment horizontal="right" shrinkToFit="0" vertical="center" wrapText="0"/>
    </xf>
    <xf borderId="0" fillId="4" fontId="4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43B186"/>
          <bgColor rgb="FF43B1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0ECE1"/>
          <bgColor rgb="FFD0ECE1"/>
        </patternFill>
      </fill>
      <border/>
    </dxf>
    <dxf>
      <border>
        <left style="thin">
          <color rgb="FF43B186"/>
        </left>
        <right style="thin">
          <color rgb="FF43B186"/>
        </right>
        <top style="thin">
          <color rgb="FF43B186"/>
        </top>
        <bottom style="thin">
          <color rgb="FF43B186"/>
        </bottom>
      </border>
    </dxf>
    <dxf>
      <font/>
      <fill>
        <patternFill patternType="solid">
          <fgColor rgb="FFFC465B"/>
          <bgColor rgb="FFFC465B"/>
        </patternFill>
      </fill>
      <border/>
    </dxf>
    <dxf>
      <font/>
      <fill>
        <patternFill patternType="solid">
          <fgColor rgb="FFFED1D6"/>
          <bgColor rgb="FFFED1D6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font>
        <color rgb="FFFF0000"/>
      </font>
      <fill>
        <patternFill patternType="none"/>
      </fill>
      <border/>
    </dxf>
    <dxf>
      <font>
        <color rgb="FF999999"/>
      </font>
      <fill>
        <patternFill patternType="none"/>
      </fill>
      <border/>
    </dxf>
    <dxf>
      <font>
        <color theme="7"/>
      </font>
      <fill>
        <patternFill patternType="none"/>
      </fill>
      <border/>
    </dxf>
    <dxf>
      <font>
        <color rgb="FF43B186"/>
      </font>
      <fill>
        <patternFill patternType="none"/>
      </fill>
      <border/>
    </dxf>
  </dxfs>
  <tableStyles count="12">
    <tableStyle count="5" pivot="0" name="FEB 26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FEB 26-style 2">
      <tableStyleElement dxfId="6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5" pivot="0" name="FEB 26-style 3">
      <tableStyleElement dxfId="8" type="headerRow"/>
      <tableStyleElement dxfId="2" type="firstRowStripe"/>
      <tableStyleElement dxfId="3" type="secondRowStripe"/>
      <tableStyleElement dxfId="9" type="totalRow"/>
      <tableStyleElement dxfId="5" size="0" type="wholeTable"/>
    </tableStyle>
    <tableStyle count="5" pivot="0" name="FEB 26-style 4">
      <tableStyleElement dxfId="10" type="headerRow"/>
      <tableStyleElement dxfId="2" type="firstRowStripe"/>
      <tableStyleElement dxfId="3" type="secondRowStripe"/>
      <tableStyleElement dxfId="11" type="totalRow"/>
      <tableStyleElement dxfId="5" size="0" type="wholeTable"/>
    </tableStyle>
    <tableStyle count="5" pivot="0" name="MAR 26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MAR 26-style 2">
      <tableStyleElement dxfId="6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5" pivot="0" name="MAR 26-style 3">
      <tableStyleElement dxfId="8" type="headerRow"/>
      <tableStyleElement dxfId="2" type="firstRowStripe"/>
      <tableStyleElement dxfId="3" type="secondRowStripe"/>
      <tableStyleElement dxfId="9" type="totalRow"/>
      <tableStyleElement dxfId="5" size="0" type="wholeTable"/>
    </tableStyle>
    <tableStyle count="5" pivot="0" name="MAR 26-style 4">
      <tableStyleElement dxfId="10" type="headerRow"/>
      <tableStyleElement dxfId="2" type="firstRowStripe"/>
      <tableStyleElement dxfId="3" type="secondRowStripe"/>
      <tableStyleElement dxfId="11" type="totalRow"/>
      <tableStyleElement dxfId="5" size="0" type="wholeTable"/>
    </tableStyle>
    <tableStyle count="5" pivot="0" name="APR 26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APR 26-style 2">
      <tableStyleElement dxfId="6" type="headerRow"/>
      <tableStyleElement dxfId="2" type="firstRowStripe"/>
      <tableStyleElement dxfId="3" type="secondRowStripe"/>
      <tableStyleElement dxfId="7" type="totalRow"/>
      <tableStyleElement dxfId="5" size="0" type="wholeTable"/>
    </tableStyle>
    <tableStyle count="5" pivot="0" name="APR 26-style 3">
      <tableStyleElement dxfId="8" type="headerRow"/>
      <tableStyleElement dxfId="2" type="firstRowStripe"/>
      <tableStyleElement dxfId="3" type="secondRowStripe"/>
      <tableStyleElement dxfId="9" type="totalRow"/>
      <tableStyleElement dxfId="5" size="0" type="wholeTable"/>
    </tableStyle>
    <tableStyle count="5" pivot="0" name="APR 26-style 4">
      <tableStyleElement dxfId="10" type="headerRow"/>
      <tableStyleElement dxfId="2" type="firstRowStripe"/>
      <tableStyleElement dxfId="3" type="secondRowStripe"/>
      <tableStyleElement dxfId="11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G15" displayName="INCOME_4" name="INCOME_4" id="1">
  <autoFilter ref="$A$1:$G$15"/>
  <tableColumns count="7">
    <tableColumn name="Income" id="1"/>
    <tableColumn totalsRowFunction="custom" name="Amout Received" id="2"/>
    <tableColumn name="Category" id="3"/>
    <tableColumn name="Date Received" id="4"/>
    <tableColumn name="Approved" id="5"/>
    <tableColumn name="Related files" id="6"/>
    <tableColumn name="Notes" id="7"/>
  </tableColumns>
  <tableStyleInfo name="FEB 26-style" showColumnStripes="0" showFirstColumn="1" showLastColumn="1" showRowStripes="1"/>
</table>
</file>

<file path=xl/tables/table2.xml><?xml version="1.0" encoding="utf-8"?>
<table xmlns="http://schemas.openxmlformats.org/spreadsheetml/2006/main" totalsRowCount="1" ref="I1:N60" displayName="EXPENSES_4" name="EXPENSES_4" id="2">
  <tableColumns count="6">
    <tableColumn name="Expense" id="1"/>
    <tableColumn totalsRowFunction="custom" name="Amount Spent" id="2"/>
    <tableColumn name="Category" id="3"/>
    <tableColumn name="Date of Expense" id="4"/>
    <tableColumn name="Related files" id="5"/>
    <tableColumn name="Notes" id="6"/>
  </tableColumns>
  <tableStyleInfo name="FEB 26-style 2" showColumnStripes="0" showFirstColumn="1" showLastColumn="1" showRowStripes="1"/>
</table>
</file>

<file path=xl/tables/table3.xml><?xml version="1.0" encoding="utf-8"?>
<table xmlns="http://schemas.openxmlformats.org/spreadsheetml/2006/main" totalsRowCount="1" ref="P1:T16" displayName="TOTAL_EXPENSE_TYPE_4" name="TOTAL_EXPENSE_TYPE_4" id="3">
  <tableColumns count="5">
    <tableColumn name="Expense Category Total" id="1"/>
    <tableColumn totalsRowFunction="custom" name="Total Transactions" id="2"/>
    <tableColumn totalsRowFunction="custom" name="Total Spent" id="3"/>
    <tableColumn totalsRowFunction="custom" name="Ideal Budget for the Month" id="4"/>
    <tableColumn totalsRowFunction="custom" name="Difference" id="5"/>
  </tableColumns>
  <tableStyleInfo name="FEB 26-style 3" showColumnStripes="0" showFirstColumn="1" showLastColumn="1" showRowStripes="1"/>
</table>
</file>

<file path=xl/tables/table4.xml><?xml version="1.0" encoding="utf-8"?>
<table xmlns="http://schemas.openxmlformats.org/spreadsheetml/2006/main" totalsRowCount="1" ref="A22:C36" displayName="CAN_I_AFFORD_IT?_4" name="CAN_I_AFFORD_IT?_4" id="4">
  <tableColumns count="3">
    <tableColumn name="Item I Want" id="1"/>
    <tableColumn name="Category" id="2"/>
    <tableColumn totalsRowFunction="custom" name="Cost" id="3"/>
  </tableColumns>
  <tableStyleInfo name="FEB 26-style 4" showColumnStripes="0" showFirstColumn="1" showLastColumn="1" showRowStripes="1"/>
</table>
</file>

<file path=xl/tables/table5.xml><?xml version="1.0" encoding="utf-8"?>
<table xmlns="http://schemas.openxmlformats.org/spreadsheetml/2006/main" totalsRowCount="1" ref="A1:G16" displayName="INCOME" name="INCOME" id="5">
  <tableColumns count="7">
    <tableColumn name="Income" id="1"/>
    <tableColumn totalsRowFunction="custom" name="Amout Received" id="2"/>
    <tableColumn name="Category" id="3"/>
    <tableColumn name="Date Received" id="4"/>
    <tableColumn name="Approved" id="5"/>
    <tableColumn name="Related files" id="6"/>
    <tableColumn name="Notes" id="7"/>
  </tableColumns>
  <tableStyleInfo name="MAR 26-style" showColumnStripes="0" showFirstColumn="1" showLastColumn="1" showRowStripes="1"/>
</table>
</file>

<file path=xl/tables/table6.xml><?xml version="1.0" encoding="utf-8"?>
<table xmlns="http://schemas.openxmlformats.org/spreadsheetml/2006/main" totalsRowCount="1" ref="I1:N40" displayName="EXPENSES" name="EXPENSES" id="6">
  <tableColumns count="6">
    <tableColumn name="Column 1" id="1"/>
    <tableColumn totalsRowFunction="custom" name="Column 2" id="2"/>
    <tableColumn name="Column 3" id="3"/>
    <tableColumn name="Column 4" id="4"/>
    <tableColumn name="Column 5" id="5"/>
    <tableColumn name="Column 6" id="6"/>
  </tableColumns>
  <tableStyleInfo name="MAR 26-style 2" showColumnStripes="0" showFirstColumn="1" showLastColumn="1" showRowStripes="1"/>
</table>
</file>

<file path=xl/tables/table7.xml><?xml version="1.0" encoding="utf-8"?>
<table xmlns="http://schemas.openxmlformats.org/spreadsheetml/2006/main" totalsRowCount="1" ref="P1:T16" displayName="TOTAL_EXPENSE_TYPE" name="TOTAL_EXPENSE_TYPE" id="7">
  <tableColumns count="5">
    <tableColumn name="Expense Category Total" id="1"/>
    <tableColumn totalsRowFunction="custom" name="Total Transactions" id="2"/>
    <tableColumn totalsRowFunction="custom" name="Total Spent" id="3"/>
    <tableColumn totalsRowFunction="custom" name="Ideal Budget for the Month" id="4"/>
    <tableColumn totalsRowFunction="custom" name="Difference" id="5"/>
  </tableColumns>
  <tableStyleInfo name="MAR 26-style 3" showColumnStripes="0" showFirstColumn="1" showLastColumn="1" showRowStripes="1"/>
</table>
</file>

<file path=xl/tables/table8.xml><?xml version="1.0" encoding="utf-8"?>
<table xmlns="http://schemas.openxmlformats.org/spreadsheetml/2006/main" totalsRowCount="1" ref="A23:C37" displayName="CAN_I_AFFORD_IT?" name="CAN_I_AFFORD_IT?" id="8">
  <tableColumns count="3">
    <tableColumn name="Item I Want" id="1"/>
    <tableColumn name="Category" id="2"/>
    <tableColumn totalsRowFunction="custom" name="Cost" id="3"/>
  </tableColumns>
  <tableStyleInfo name="MAR 26-style 4" showColumnStripes="0" showFirstColumn="1" showLastColumn="1" showRowStripes="1"/>
</table>
</file>

<file path=xl/tables/table9.xml><?xml version="1.0" encoding="utf-8"?>
<table xmlns="http://schemas.openxmlformats.org/spreadsheetml/2006/main" totalsRowCount="1" ref="A1:G16" displayName="INCOME_3" name="INCOME_3" id="9">
  <tableColumns count="7">
    <tableColumn name="Income" id="1"/>
    <tableColumn totalsRowFunction="custom" name="Amout Received" id="2"/>
    <tableColumn name="Category" id="3"/>
    <tableColumn name="Date Received" id="4"/>
    <tableColumn name="Approved" id="5"/>
    <tableColumn name="Related files" id="6"/>
    <tableColumn name="Notes" id="7"/>
  </tableColumns>
  <tableStyleInfo name="APR 26-style" showColumnStripes="0" showFirstColumn="1" showLastColumn="1" showRowStripes="1"/>
</table>
</file>

<file path=xl/tables/table10.xml><?xml version="1.0" encoding="utf-8"?>
<table xmlns="http://schemas.openxmlformats.org/spreadsheetml/2006/main" totalsRowCount="1" ref="I1:N62" displayName="EXPENSES_3" name="EXPENSES_3" id="10">
  <tableColumns count="6">
    <tableColumn name="Column 1" id="1"/>
    <tableColumn totalsRowFunction="custom" name="Column 2" id="2"/>
    <tableColumn name="Column 3" id="3"/>
    <tableColumn name="Column 4" id="4"/>
    <tableColumn name="Column 5" id="5"/>
    <tableColumn name="Column 6" id="6"/>
  </tableColumns>
  <tableStyleInfo name="APR 26-style 2" showColumnStripes="0" showFirstColumn="1" showLastColumn="1" showRowStripes="1"/>
</table>
</file>

<file path=xl/tables/table11.xml><?xml version="1.0" encoding="utf-8"?>
<table xmlns="http://schemas.openxmlformats.org/spreadsheetml/2006/main" totalsRowCount="1" ref="P1:T16" displayName="TOTAL_EXPENSE_TYPE_3" name="TOTAL_EXPENSE_TYPE_3" id="11">
  <tableColumns count="5">
    <tableColumn name="Expense Category Total" id="1"/>
    <tableColumn totalsRowFunction="custom" name="Total Transactions" id="2"/>
    <tableColumn totalsRowFunction="custom" name="Total Spent" id="3"/>
    <tableColumn totalsRowFunction="custom" name="Ideal Budget for the Month" id="4"/>
    <tableColumn totalsRowFunction="custom" name="Difference" id="5"/>
  </tableColumns>
  <tableStyleInfo name="APR 26-style 3" showColumnStripes="0" showFirstColumn="1" showLastColumn="1" showRowStripes="1"/>
</table>
</file>

<file path=xl/tables/table12.xml><?xml version="1.0" encoding="utf-8"?>
<table xmlns="http://schemas.openxmlformats.org/spreadsheetml/2006/main" totalsRowCount="1" ref="A23:C37" displayName="CAN_I_AFFORD_IT?_3" name="CAN_I_AFFORD_IT?_3" id="12">
  <tableColumns count="3">
    <tableColumn name="Item I Want" id="1"/>
    <tableColumn name="Category" id="2"/>
    <tableColumn totalsRowFunction="custom" name="Cost" id="3"/>
  </tableColumns>
  <tableStyleInfo name="APR 26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5.63"/>
    <col customWidth="1" min="3" max="3" width="20.25"/>
    <col customWidth="1" min="4" max="4" width="19.5"/>
    <col customWidth="1" min="5" max="5" width="15.88"/>
    <col customWidth="1" min="6" max="6" width="18.13"/>
    <col customWidth="1" min="7" max="7" width="13.13"/>
    <col customWidth="1" min="8" max="8" width="13.88"/>
    <col customWidth="1" min="9" max="9" width="29.0"/>
    <col customWidth="1" min="10" max="10" width="19.38"/>
    <col customWidth="1" min="11" max="11" width="20.25"/>
    <col customWidth="1" min="12" max="12" width="15.0"/>
    <col customWidth="1" min="13" max="13" width="14.5"/>
    <col customWidth="1" min="14" max="14" width="21.0"/>
    <col customWidth="1" min="15" max="15" width="18.25"/>
    <col customWidth="1" min="16" max="16" width="23.0"/>
    <col customWidth="1" min="17" max="17" width="19.38"/>
    <col customWidth="1" min="18" max="18" width="17.25"/>
    <col customWidth="1" min="19" max="19" width="23.5"/>
    <col customWidth="1" min="20" max="20" width="16.5"/>
    <col customWidth="1" min="21" max="22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2</v>
      </c>
      <c r="L1" s="1" t="s">
        <v>9</v>
      </c>
      <c r="M1" s="1" t="s">
        <v>5</v>
      </c>
      <c r="N1" s="1" t="s">
        <v>6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 ht="22.5" customHeight="1">
      <c r="A2" s="3" t="s">
        <v>15</v>
      </c>
      <c r="B2" s="4">
        <v>51.7616</v>
      </c>
      <c r="C2" s="5" t="s">
        <v>16</v>
      </c>
      <c r="D2" s="6">
        <v>46051.0</v>
      </c>
      <c r="E2" s="7"/>
      <c r="F2" s="7"/>
      <c r="G2" s="7"/>
      <c r="H2" s="8"/>
      <c r="I2" s="3" t="s">
        <v>17</v>
      </c>
      <c r="J2" s="4">
        <v>16.6464</v>
      </c>
      <c r="K2" s="5" t="s">
        <v>18</v>
      </c>
      <c r="L2" s="6">
        <v>46052.0</v>
      </c>
      <c r="M2" s="7"/>
      <c r="N2" s="7"/>
      <c r="P2" s="9" t="s">
        <v>19</v>
      </c>
      <c r="Q2" s="10">
        <f>COUNTIF(EXPENSES_4[[#HEADERS],[#DATA],[Category]], "Debt")</f>
        <v>3</v>
      </c>
      <c r="R2" s="11">
        <f>SUMIF(EXPENSES_4[[#HEADERS],[#DATA],[Category]], "Debt", EXPENSES_4[[#HEADERS],[#DATA],[Amount Spent]])</f>
        <v>841.5</v>
      </c>
      <c r="S2" s="4">
        <v>550.0</v>
      </c>
      <c r="T2" s="11">
        <f t="shared" ref="T2:T15" si="1">S2-R2</f>
        <v>-291.5</v>
      </c>
    </row>
    <row r="3" ht="22.5" customHeight="1">
      <c r="A3" s="3" t="s">
        <v>20</v>
      </c>
      <c r="B3" s="4">
        <v>1337.2381</v>
      </c>
      <c r="C3" s="5" t="s">
        <v>21</v>
      </c>
      <c r="D3" s="6">
        <v>46052.0</v>
      </c>
      <c r="E3" s="7"/>
      <c r="F3" s="7"/>
      <c r="G3" s="7"/>
      <c r="H3" s="8"/>
      <c r="I3" s="3" t="s">
        <v>22</v>
      </c>
      <c r="J3" s="4">
        <v>19.4922</v>
      </c>
      <c r="K3" s="5" t="s">
        <v>18</v>
      </c>
      <c r="L3" s="6">
        <v>46052.0</v>
      </c>
      <c r="M3" s="7"/>
      <c r="N3" s="12" t="s">
        <v>23</v>
      </c>
      <c r="P3" s="9" t="s">
        <v>18</v>
      </c>
      <c r="Q3" s="10">
        <f>COUNTIF(EXPENSES_4[[#HEADERS],[#DATA],[Category]], "Food")</f>
        <v>27</v>
      </c>
      <c r="R3" s="11">
        <f>SUMIF(EXPENSES_4[[#HEADERS],[#DATA],[Category]], "Food", EXPENSES_4[[#HEADERS],[#DATA],[Amount Spent]])</f>
        <v>800.7561</v>
      </c>
      <c r="S3" s="4">
        <v>500.0</v>
      </c>
      <c r="T3" s="11">
        <f t="shared" si="1"/>
        <v>-300.7561</v>
      </c>
    </row>
    <row r="4" ht="22.5" customHeight="1">
      <c r="A4" s="3" t="s">
        <v>20</v>
      </c>
      <c r="B4" s="4">
        <v>1369.4334000000001</v>
      </c>
      <c r="C4" s="5" t="s">
        <v>21</v>
      </c>
      <c r="D4" s="6">
        <v>46066.0</v>
      </c>
      <c r="E4" s="7"/>
      <c r="F4" s="7"/>
      <c r="G4" s="7"/>
      <c r="H4" s="8"/>
      <c r="I4" s="3" t="s">
        <v>24</v>
      </c>
      <c r="J4" s="4">
        <v>413.1</v>
      </c>
      <c r="K4" s="5" t="s">
        <v>25</v>
      </c>
      <c r="L4" s="6">
        <v>46052.0</v>
      </c>
      <c r="M4" s="7"/>
      <c r="N4" s="7"/>
      <c r="P4" s="9" t="s">
        <v>26</v>
      </c>
      <c r="Q4" s="10">
        <f>COUNTIF(EXPENSES_4[[#HEADERS],[#DATA],[Category]], "Giving")</f>
        <v>2</v>
      </c>
      <c r="R4" s="11">
        <f>SUMIF(EXPENSES_4[[#HEADERS],[#DATA],[Category]], "Giving", EXPENSES_4[[#HEADERS],[#DATA],[Amount Spent]])</f>
        <v>62.73</v>
      </c>
      <c r="S4" s="4">
        <v>10.0</v>
      </c>
      <c r="T4" s="11">
        <f t="shared" si="1"/>
        <v>-52.73</v>
      </c>
    </row>
    <row r="5" ht="22.5" customHeight="1">
      <c r="A5" s="3" t="s">
        <v>27</v>
      </c>
      <c r="B5" s="4">
        <v>86.5</v>
      </c>
      <c r="C5" s="5" t="s">
        <v>28</v>
      </c>
      <c r="D5" s="6">
        <v>46066.0</v>
      </c>
      <c r="E5" s="7"/>
      <c r="F5" s="7"/>
      <c r="G5" s="7"/>
      <c r="H5" s="8"/>
      <c r="I5" s="3" t="s">
        <v>29</v>
      </c>
      <c r="J5" s="4">
        <v>66.0654</v>
      </c>
      <c r="K5" s="5" t="s">
        <v>18</v>
      </c>
      <c r="L5" s="6">
        <v>46052.0</v>
      </c>
      <c r="M5" s="7"/>
      <c r="N5" s="7"/>
      <c r="P5" s="9" t="s">
        <v>30</v>
      </c>
      <c r="Q5" s="10">
        <f>COUNTIF(EXPENSES_4[[#HEADERS],[#DATA],[Category]], "Health")</f>
        <v>2</v>
      </c>
      <c r="R5" s="11">
        <f>SUMIF(EXPENSES_4[[#HEADERS],[#DATA],[Category]], "Health", EXPENSES_4[[#HEADERS],[#DATA],[Amount Spent]])</f>
        <v>23.103</v>
      </c>
      <c r="S5" s="4">
        <v>25.0</v>
      </c>
      <c r="T5" s="11">
        <f t="shared" si="1"/>
        <v>1.897</v>
      </c>
    </row>
    <row r="6" ht="22.5" customHeight="1">
      <c r="A6" s="3" t="s">
        <v>31</v>
      </c>
      <c r="B6" s="4">
        <v>795.8</v>
      </c>
      <c r="C6" s="5" t="s">
        <v>16</v>
      </c>
      <c r="D6" s="6">
        <v>46072.0</v>
      </c>
      <c r="E6" s="7"/>
      <c r="F6" s="7"/>
      <c r="G6" s="7"/>
      <c r="H6" s="8"/>
      <c r="I6" s="3" t="s">
        <v>32</v>
      </c>
      <c r="J6" s="4">
        <v>24.3882</v>
      </c>
      <c r="K6" s="5" t="s">
        <v>33</v>
      </c>
      <c r="L6" s="6">
        <v>46053.0</v>
      </c>
      <c r="M6" s="7"/>
      <c r="N6" s="7"/>
      <c r="P6" s="9" t="s">
        <v>34</v>
      </c>
      <c r="Q6" s="10">
        <f>COUNTIF(EXPENSES_4[[#HEADERS],[#DATA],[Category]], "Investment/Smart Finances")</f>
        <v>0</v>
      </c>
      <c r="R6" s="11">
        <f>SUMIF(EXPENSES_4[[#HEADERS],[#DATA],[Category]], "Investment/Smart Finances", EXPENSES_4[[#HEADERS],[#DATA],[Amount Spent]])</f>
        <v>0</v>
      </c>
      <c r="S6" s="11"/>
      <c r="T6" s="11">
        <f t="shared" si="1"/>
        <v>0</v>
      </c>
    </row>
    <row r="7" ht="22.5" customHeight="1">
      <c r="A7" s="3" t="s">
        <v>20</v>
      </c>
      <c r="B7" s="4">
        <v>1344.9885000000002</v>
      </c>
      <c r="C7" s="5" t="s">
        <v>21</v>
      </c>
      <c r="D7" s="6">
        <v>46080.0</v>
      </c>
      <c r="E7" s="7"/>
      <c r="F7" s="7"/>
      <c r="G7" s="7"/>
      <c r="H7" s="8"/>
      <c r="I7" s="3" t="s">
        <v>35</v>
      </c>
      <c r="J7" s="4">
        <v>9.1188</v>
      </c>
      <c r="K7" s="5" t="s">
        <v>30</v>
      </c>
      <c r="L7" s="6">
        <v>46055.0</v>
      </c>
      <c r="M7" s="7"/>
      <c r="N7" s="7"/>
      <c r="P7" s="9" t="s">
        <v>36</v>
      </c>
      <c r="Q7" s="10">
        <f>COUNTIF(EXPENSES_4[[#HEADERS],[#DATA],[Category]], "Personal")</f>
        <v>7</v>
      </c>
      <c r="R7" s="11">
        <f>SUMIF(EXPENSES_4[[#HEADERS],[#DATA],[Category]], "Personal" , EXPENSES_4[[#HEADERS],[#DATA],[Amount Spent]])</f>
        <v>567.936</v>
      </c>
      <c r="S7" s="4">
        <v>200.0</v>
      </c>
      <c r="T7" s="11">
        <f t="shared" si="1"/>
        <v>-367.936</v>
      </c>
    </row>
    <row r="8" ht="22.5" customHeight="1">
      <c r="A8" s="13"/>
      <c r="B8" s="4"/>
      <c r="C8" s="14"/>
      <c r="D8" s="15"/>
      <c r="E8" s="7"/>
      <c r="F8" s="7"/>
      <c r="G8" s="7"/>
      <c r="H8" s="8"/>
      <c r="I8" s="3" t="s">
        <v>37</v>
      </c>
      <c r="J8" s="4">
        <v>139.077</v>
      </c>
      <c r="K8" s="5" t="s">
        <v>18</v>
      </c>
      <c r="L8" s="6">
        <v>46055.0</v>
      </c>
      <c r="M8" s="7"/>
      <c r="N8" s="7"/>
      <c r="P8" s="9" t="s">
        <v>38</v>
      </c>
      <c r="Q8" s="10">
        <f>COUNTIF(EXPENSES_4[[#HEADERS],[#DATA],[Category]], "Subscriptions")</f>
        <v>2</v>
      </c>
      <c r="R8" s="11">
        <f>SUMIF(EXPENSES_4[[#HEADERS],[#DATA],[Category]], "Subscriptions", EXPENSES_4[[#HEADERS],[#DATA],[Amount Spent]])</f>
        <v>50.4594</v>
      </c>
      <c r="S8" s="4">
        <v>32.0</v>
      </c>
      <c r="T8" s="11">
        <f t="shared" si="1"/>
        <v>-18.4594</v>
      </c>
    </row>
    <row r="9" ht="22.5" customHeight="1">
      <c r="A9" s="13"/>
      <c r="B9" s="11"/>
      <c r="C9" s="14"/>
      <c r="D9" s="15"/>
      <c r="E9" s="7"/>
      <c r="F9" s="7"/>
      <c r="G9" s="7"/>
      <c r="H9" s="8"/>
      <c r="I9" s="3" t="s">
        <v>39</v>
      </c>
      <c r="J9" s="4">
        <v>21.114</v>
      </c>
      <c r="K9" s="5" t="s">
        <v>18</v>
      </c>
      <c r="L9" s="6">
        <v>46055.0</v>
      </c>
      <c r="M9" s="7"/>
      <c r="N9" s="7"/>
      <c r="P9" s="9" t="s">
        <v>33</v>
      </c>
      <c r="Q9" s="10">
        <f>COUNTIF(EXPENSES_4[[#HEADERS],[#DATA],[Category]], "Transportation")</f>
        <v>8</v>
      </c>
      <c r="R9" s="11">
        <f>SUMIF(EXPENSES_4[[#HEADERS],[#DATA],[Category]], "Transportation", EXPENSES_4[[#HEADERS],[#DATA],[Amount Spent]])</f>
        <v>230.7087</v>
      </c>
      <c r="S9" s="4">
        <v>100.0</v>
      </c>
      <c r="T9" s="11">
        <f t="shared" si="1"/>
        <v>-130.7087</v>
      </c>
    </row>
    <row r="10" ht="22.5" customHeight="1">
      <c r="A10" s="13"/>
      <c r="B10" s="11"/>
      <c r="C10" s="14"/>
      <c r="D10" s="15"/>
      <c r="E10" s="7"/>
      <c r="F10" s="7"/>
      <c r="G10" s="7"/>
      <c r="H10" s="8"/>
      <c r="I10" s="3" t="s">
        <v>40</v>
      </c>
      <c r="J10" s="4">
        <v>30.6</v>
      </c>
      <c r="K10" s="5" t="s">
        <v>33</v>
      </c>
      <c r="L10" s="6">
        <v>46060.0</v>
      </c>
      <c r="M10" s="7"/>
      <c r="N10" s="7"/>
      <c r="P10" s="9" t="s">
        <v>25</v>
      </c>
      <c r="Q10" s="10">
        <f>COUNTIF(EXPENSES_4[[#HEADERS],[#DATA],[Category]], "Travel")</f>
        <v>1</v>
      </c>
      <c r="R10" s="11">
        <f>SUMIF(EXPENSES_4[[#HEADERS],[#DATA],[Category]], "Travel", EXPENSES_4[[#HEADERS],[#DATA],[Amount Spent]])</f>
        <v>413.1</v>
      </c>
      <c r="S10" s="4">
        <v>490.5</v>
      </c>
      <c r="T10" s="11">
        <f t="shared" si="1"/>
        <v>77.4</v>
      </c>
    </row>
    <row r="11" ht="22.5" customHeight="1">
      <c r="A11" s="13"/>
      <c r="B11" s="11"/>
      <c r="C11" s="14"/>
      <c r="D11" s="15"/>
      <c r="E11" s="7"/>
      <c r="F11" s="7"/>
      <c r="G11" s="7"/>
      <c r="H11" s="8"/>
      <c r="I11" s="3" t="s">
        <v>41</v>
      </c>
      <c r="J11" s="4">
        <v>11.444400000000002</v>
      </c>
      <c r="K11" s="5" t="s">
        <v>18</v>
      </c>
      <c r="L11" s="6">
        <v>46060.0</v>
      </c>
      <c r="M11" s="7"/>
      <c r="N11" s="7"/>
      <c r="P11" s="9" t="s">
        <v>42</v>
      </c>
      <c r="Q11" s="10">
        <f>COUNTIF(EXPENSES_4[[#HEADERS],[#DATA],[Category]], "Unsure: FIND OUT")</f>
        <v>0</v>
      </c>
      <c r="R11" s="11">
        <f>SUMIF(EXPENSES_4[[#HEADERS],[#DATA],[Category]], "Unsure: FIND OUT", EXPENSES_4[[#HEADERS],[#DATA],[Amount Spent]])</f>
        <v>0</v>
      </c>
      <c r="S11" s="4">
        <v>0.0</v>
      </c>
      <c r="T11" s="11">
        <f t="shared" si="1"/>
        <v>0</v>
      </c>
    </row>
    <row r="12" ht="22.5" customHeight="1">
      <c r="A12" s="13"/>
      <c r="B12" s="11"/>
      <c r="C12" s="14"/>
      <c r="D12" s="15"/>
      <c r="E12" s="7"/>
      <c r="F12" s="7"/>
      <c r="G12" s="7"/>
      <c r="H12" s="8"/>
      <c r="I12" s="3" t="s">
        <v>43</v>
      </c>
      <c r="J12" s="4">
        <v>75.9033</v>
      </c>
      <c r="K12" s="5" t="s">
        <v>36</v>
      </c>
      <c r="L12" s="6">
        <v>46060.0</v>
      </c>
      <c r="M12" s="7"/>
      <c r="N12" s="7"/>
      <c r="P12" s="9" t="s">
        <v>28</v>
      </c>
      <c r="Q12" s="10">
        <f>COUNTIF(EXPENSES_4[[#HEADERS],[#DATA],[Category]], "Zelle, CashApp, Etc.")</f>
        <v>2</v>
      </c>
      <c r="R12" s="11">
        <f>SUMIF(EXPENSES_4[[#HEADERS],[#DATA],[Category]], "Zelle, Cashapp, Etc.", EXPENSES_4[[#HEADERS],[#DATA],[Amount Spent]])</f>
        <v>374.85</v>
      </c>
      <c r="S12" s="4">
        <v>245.0</v>
      </c>
      <c r="T12" s="11">
        <f t="shared" si="1"/>
        <v>-129.85</v>
      </c>
    </row>
    <row r="13" ht="22.5" customHeight="1">
      <c r="A13" s="13"/>
      <c r="B13" s="11"/>
      <c r="C13" s="14"/>
      <c r="D13" s="15"/>
      <c r="E13" s="7"/>
      <c r="F13" s="7"/>
      <c r="G13" s="7"/>
      <c r="H13" s="8"/>
      <c r="I13" s="3" t="s">
        <v>44</v>
      </c>
      <c r="J13" s="4">
        <v>220.47299999999998</v>
      </c>
      <c r="K13" s="5" t="s">
        <v>36</v>
      </c>
      <c r="L13" s="6">
        <v>46060.0</v>
      </c>
      <c r="M13" s="7"/>
      <c r="N13" s="7"/>
      <c r="P13" s="10"/>
      <c r="Q13" s="10"/>
      <c r="R13" s="11"/>
      <c r="S13" s="11"/>
      <c r="T13" s="11">
        <f t="shared" si="1"/>
        <v>0</v>
      </c>
    </row>
    <row r="14" ht="22.5" customHeight="1">
      <c r="A14" s="13"/>
      <c r="B14" s="11"/>
      <c r="C14" s="14"/>
      <c r="D14" s="15"/>
      <c r="E14" s="7"/>
      <c r="F14" s="7"/>
      <c r="G14" s="7"/>
      <c r="H14" s="16"/>
      <c r="I14" s="3" t="s">
        <v>45</v>
      </c>
      <c r="J14" s="4">
        <v>74.2203</v>
      </c>
      <c r="K14" s="5" t="s">
        <v>36</v>
      </c>
      <c r="L14" s="6">
        <v>46060.0</v>
      </c>
      <c r="M14" s="7"/>
      <c r="N14" s="7"/>
      <c r="P14" s="10"/>
      <c r="Q14" s="10"/>
      <c r="R14" s="11"/>
      <c r="S14" s="11"/>
      <c r="T14" s="11">
        <f t="shared" si="1"/>
        <v>0</v>
      </c>
    </row>
    <row r="15" ht="22.5" customHeight="1">
      <c r="A15" s="17"/>
      <c r="B15" s="18">
        <f>SUM(INCOME_4[Amout Received])</f>
        <v>4985.7216</v>
      </c>
      <c r="C15" s="19"/>
      <c r="D15" s="18"/>
      <c r="E15" s="19"/>
      <c r="F15" s="19"/>
      <c r="G15" s="19"/>
      <c r="H15" s="20"/>
      <c r="I15" s="3" t="s">
        <v>39</v>
      </c>
      <c r="J15" s="4">
        <v>8.445599999999999</v>
      </c>
      <c r="K15" s="5" t="s">
        <v>18</v>
      </c>
      <c r="L15" s="6">
        <v>46060.0</v>
      </c>
      <c r="M15" s="7"/>
      <c r="N15" s="7"/>
      <c r="P15" s="10"/>
      <c r="Q15" s="10"/>
      <c r="R15" s="11"/>
      <c r="S15" s="11"/>
      <c r="T15" s="11">
        <f t="shared" si="1"/>
        <v>0</v>
      </c>
    </row>
    <row r="16" ht="22.5" customHeight="1">
      <c r="A16" s="21"/>
      <c r="B16" s="22"/>
      <c r="C16" s="20"/>
      <c r="D16" s="23"/>
      <c r="E16" s="20"/>
      <c r="F16" s="20"/>
      <c r="G16" s="20"/>
      <c r="H16" s="20"/>
      <c r="I16" s="3" t="s">
        <v>46</v>
      </c>
      <c r="J16" s="4">
        <v>1.53</v>
      </c>
      <c r="K16" s="5" t="s">
        <v>26</v>
      </c>
      <c r="L16" s="6">
        <v>46060.0</v>
      </c>
      <c r="M16" s="7"/>
      <c r="N16" s="7"/>
      <c r="P16" s="10"/>
      <c r="Q16" s="10">
        <f>SUM(TOTAL_EXPENSE_TYPE_4[Total Transactions])</f>
        <v>54</v>
      </c>
      <c r="R16" s="11">
        <f>SUM(TOTAL_EXPENSE_TYPE_4[Total Spent])</f>
        <v>3365.1432</v>
      </c>
      <c r="S16" s="11">
        <f>SUM(TOTAL_EXPENSE_TYPE_4[Ideal Budget for the Month])</f>
        <v>2152.5</v>
      </c>
      <c r="T16" s="11">
        <f>SUM(TOTAL_EXPENSE_TYPE_4[Difference])</f>
        <v>-1212.6432</v>
      </c>
    </row>
    <row r="17" ht="22.5" customHeight="1">
      <c r="A17" s="24" t="s">
        <v>47</v>
      </c>
      <c r="B17" s="22"/>
      <c r="C17" s="20"/>
      <c r="D17" s="22"/>
      <c r="E17" s="20"/>
      <c r="F17" s="20"/>
      <c r="G17" s="20"/>
      <c r="H17" s="20"/>
      <c r="I17" s="3" t="s">
        <v>48</v>
      </c>
      <c r="J17" s="4">
        <v>11.8116</v>
      </c>
      <c r="K17" s="5" t="s">
        <v>18</v>
      </c>
      <c r="L17" s="6">
        <v>46062.0</v>
      </c>
      <c r="M17" s="7"/>
      <c r="N17" s="7"/>
    </row>
    <row r="18" ht="22.5" customHeight="1">
      <c r="A18" s="24">
        <f> INCOME_4[[#TOTALS],[Amout Received]]-EXPENSES_4[[#TOTALS],[Amount Spent]]</f>
        <v>1620.5784</v>
      </c>
      <c r="B18" s="22"/>
      <c r="C18" s="20"/>
      <c r="D18" s="22"/>
      <c r="E18" s="20"/>
      <c r="F18" s="20"/>
      <c r="G18" s="20"/>
      <c r="H18" s="20"/>
      <c r="I18" s="3" t="s">
        <v>17</v>
      </c>
      <c r="J18" s="4">
        <v>16.6464</v>
      </c>
      <c r="K18" s="5" t="s">
        <v>18</v>
      </c>
      <c r="L18" s="6">
        <v>46062.0</v>
      </c>
      <c r="M18" s="7"/>
      <c r="N18" s="7"/>
    </row>
    <row r="19" ht="22.5" customHeight="1">
      <c r="A19" s="24"/>
      <c r="B19" s="22"/>
      <c r="C19" s="20"/>
      <c r="D19" s="22"/>
      <c r="E19" s="20"/>
      <c r="F19" s="20"/>
      <c r="G19" s="20"/>
      <c r="H19" s="20"/>
      <c r="I19" s="3" t="s">
        <v>49</v>
      </c>
      <c r="J19" s="4">
        <v>31.5792</v>
      </c>
      <c r="K19" s="5" t="s">
        <v>18</v>
      </c>
      <c r="L19" s="6">
        <v>46063.0</v>
      </c>
      <c r="M19" s="7"/>
      <c r="N19" s="7"/>
    </row>
    <row r="20" ht="22.5" customHeight="1">
      <c r="A20" s="24"/>
      <c r="B20" s="22"/>
      <c r="C20" s="20"/>
      <c r="D20" s="22"/>
      <c r="E20" s="20"/>
      <c r="F20" s="20"/>
      <c r="G20" s="20"/>
      <c r="H20" s="20"/>
      <c r="I20" s="3" t="s">
        <v>50</v>
      </c>
      <c r="J20" s="4">
        <v>18.2682</v>
      </c>
      <c r="K20" s="5" t="s">
        <v>33</v>
      </c>
      <c r="L20" s="6">
        <v>46064.0</v>
      </c>
      <c r="M20" s="7"/>
      <c r="N20" s="7"/>
    </row>
    <row r="21" ht="22.5" customHeight="1">
      <c r="A21" s="24"/>
      <c r="B21" s="22"/>
      <c r="C21" s="20"/>
      <c r="D21" s="22"/>
      <c r="E21" s="20"/>
      <c r="F21" s="20"/>
      <c r="G21" s="20"/>
      <c r="H21" s="20"/>
      <c r="I21" s="3" t="s">
        <v>51</v>
      </c>
      <c r="J21" s="4">
        <v>69.7833</v>
      </c>
      <c r="K21" s="5" t="s">
        <v>18</v>
      </c>
      <c r="L21" s="6">
        <v>46064.0</v>
      </c>
      <c r="M21" s="7"/>
      <c r="N21" s="7"/>
    </row>
    <row r="22" ht="22.5" customHeight="1">
      <c r="A22" s="25" t="s">
        <v>52</v>
      </c>
      <c r="B22" s="25" t="s">
        <v>2</v>
      </c>
      <c r="C22" s="26" t="s">
        <v>53</v>
      </c>
      <c r="D22" s="27"/>
      <c r="E22" s="27"/>
      <c r="F22" s="27"/>
      <c r="G22" s="27"/>
      <c r="H22" s="20"/>
      <c r="I22" s="3" t="s">
        <v>54</v>
      </c>
      <c r="J22" s="4">
        <v>30.584699999999998</v>
      </c>
      <c r="K22" s="5" t="s">
        <v>38</v>
      </c>
      <c r="L22" s="6">
        <v>46065.0</v>
      </c>
      <c r="M22" s="7"/>
      <c r="N22" s="7"/>
    </row>
    <row r="23" ht="22.5" customHeight="1">
      <c r="A23" s="28"/>
      <c r="B23" s="29"/>
      <c r="C23" s="30"/>
      <c r="D23" s="27"/>
      <c r="E23" s="27"/>
      <c r="F23" s="27"/>
      <c r="G23" s="27"/>
      <c r="H23" s="20"/>
      <c r="I23" s="3" t="s">
        <v>51</v>
      </c>
      <c r="J23" s="4">
        <v>35.5266</v>
      </c>
      <c r="K23" s="5" t="s">
        <v>18</v>
      </c>
      <c r="L23" s="6">
        <v>46065.0</v>
      </c>
      <c r="M23" s="7"/>
      <c r="N23" s="7"/>
    </row>
    <row r="24" ht="22.5" customHeight="1">
      <c r="A24" s="31" t="s">
        <v>55</v>
      </c>
      <c r="B24" s="32"/>
      <c r="C24" s="33"/>
      <c r="D24" s="27"/>
      <c r="E24" s="27"/>
      <c r="F24" s="27"/>
      <c r="G24" s="27"/>
      <c r="H24" s="20"/>
      <c r="I24" s="3" t="s">
        <v>48</v>
      </c>
      <c r="J24" s="4">
        <v>11.9646</v>
      </c>
      <c r="K24" s="5" t="s">
        <v>18</v>
      </c>
      <c r="L24" s="6">
        <v>46065.0</v>
      </c>
      <c r="M24" s="7"/>
      <c r="N24" s="7"/>
    </row>
    <row r="25" ht="22.5" customHeight="1">
      <c r="A25" s="28" t="s">
        <v>56</v>
      </c>
      <c r="B25" s="34"/>
      <c r="C25" s="30"/>
      <c r="D25" s="27"/>
      <c r="E25" s="27"/>
      <c r="F25" s="27"/>
      <c r="G25" s="27"/>
      <c r="H25" s="20"/>
      <c r="I25" s="3" t="s">
        <v>57</v>
      </c>
      <c r="J25" s="4">
        <v>53.550000000000004</v>
      </c>
      <c r="K25" s="5" t="s">
        <v>28</v>
      </c>
      <c r="L25" s="6">
        <v>46066.0</v>
      </c>
      <c r="M25" s="7"/>
      <c r="N25" s="7"/>
    </row>
    <row r="26" ht="22.5" customHeight="1">
      <c r="A26" s="35" t="s">
        <v>58</v>
      </c>
      <c r="B26" s="36"/>
      <c r="C26" s="33"/>
      <c r="D26" s="27"/>
      <c r="E26" s="27"/>
      <c r="F26" s="27"/>
      <c r="G26" s="27"/>
      <c r="H26" s="20"/>
      <c r="I26" s="3" t="s">
        <v>59</v>
      </c>
      <c r="J26" s="4">
        <v>19.4463</v>
      </c>
      <c r="K26" s="5" t="s">
        <v>18</v>
      </c>
      <c r="L26" s="6">
        <v>46066.0</v>
      </c>
      <c r="M26" s="7"/>
      <c r="N26" s="7"/>
    </row>
    <row r="27" ht="22.5" customHeight="1">
      <c r="A27" s="28" t="s">
        <v>60</v>
      </c>
      <c r="B27" s="37"/>
      <c r="C27" s="30"/>
      <c r="D27" s="27"/>
      <c r="E27" s="27"/>
      <c r="F27" s="27"/>
      <c r="G27" s="27"/>
      <c r="H27" s="20"/>
      <c r="I27" s="3" t="s">
        <v>61</v>
      </c>
      <c r="J27" s="4">
        <v>15.039900000000001</v>
      </c>
      <c r="K27" s="5" t="s">
        <v>18</v>
      </c>
      <c r="L27" s="6">
        <v>46066.0</v>
      </c>
      <c r="M27" s="7"/>
      <c r="N27" s="7"/>
    </row>
    <row r="28" ht="22.5" customHeight="1">
      <c r="A28" s="35" t="s">
        <v>62</v>
      </c>
      <c r="B28" s="38"/>
      <c r="C28" s="33"/>
      <c r="D28" s="27"/>
      <c r="E28" s="27"/>
      <c r="F28" s="27"/>
      <c r="G28" s="27"/>
      <c r="H28" s="20"/>
      <c r="I28" s="3" t="s">
        <v>63</v>
      </c>
      <c r="J28" s="4">
        <v>13.984200000000001</v>
      </c>
      <c r="K28" s="5" t="s">
        <v>30</v>
      </c>
      <c r="L28" s="6">
        <v>46070.0</v>
      </c>
      <c r="M28" s="7"/>
      <c r="N28" s="7"/>
    </row>
    <row r="29" ht="22.5" customHeight="1">
      <c r="A29" s="28" t="s">
        <v>64</v>
      </c>
      <c r="B29" s="37"/>
      <c r="C29" s="33"/>
      <c r="D29" s="27"/>
      <c r="E29" s="27"/>
      <c r="F29" s="27"/>
      <c r="G29" s="27"/>
      <c r="H29" s="20"/>
      <c r="I29" s="3" t="s">
        <v>40</v>
      </c>
      <c r="J29" s="4">
        <v>30.6</v>
      </c>
      <c r="K29" s="5" t="s">
        <v>33</v>
      </c>
      <c r="L29" s="6">
        <v>46070.0</v>
      </c>
      <c r="M29" s="7"/>
      <c r="N29" s="7"/>
    </row>
    <row r="30" ht="22.5" customHeight="1">
      <c r="A30" s="39"/>
      <c r="B30" s="38"/>
      <c r="C30" s="40"/>
      <c r="D30" s="27"/>
      <c r="E30" s="27"/>
      <c r="F30" s="27"/>
      <c r="G30" s="27"/>
      <c r="H30" s="20"/>
      <c r="I30" s="3" t="s">
        <v>65</v>
      </c>
      <c r="J30" s="4">
        <v>22.521600000000003</v>
      </c>
      <c r="K30" s="5" t="s">
        <v>18</v>
      </c>
      <c r="L30" s="6">
        <v>46070.0</v>
      </c>
      <c r="M30" s="7"/>
      <c r="N30" s="7"/>
    </row>
    <row r="31" ht="22.5" customHeight="1">
      <c r="A31" s="41"/>
      <c r="B31" s="37"/>
      <c r="C31" s="42"/>
      <c r="D31" s="22"/>
      <c r="E31" s="43"/>
      <c r="F31" s="20"/>
      <c r="G31" s="20"/>
      <c r="H31" s="20"/>
      <c r="I31" s="3" t="s">
        <v>66</v>
      </c>
      <c r="J31" s="4">
        <v>21.5118</v>
      </c>
      <c r="K31" s="5" t="s">
        <v>18</v>
      </c>
      <c r="L31" s="6">
        <v>46070.0</v>
      </c>
      <c r="M31" s="7"/>
      <c r="N31" s="7"/>
      <c r="O31" s="20"/>
    </row>
    <row r="32" ht="22.5" customHeight="1">
      <c r="A32" s="39"/>
      <c r="B32" s="38"/>
      <c r="C32" s="40"/>
      <c r="D32" s="22"/>
      <c r="E32" s="20"/>
      <c r="F32" s="20"/>
      <c r="G32" s="20"/>
      <c r="H32" s="20"/>
      <c r="I32" s="3" t="s">
        <v>67</v>
      </c>
      <c r="J32" s="4">
        <v>153.0</v>
      </c>
      <c r="K32" s="5" t="s">
        <v>19</v>
      </c>
      <c r="L32" s="6">
        <v>46070.0</v>
      </c>
      <c r="M32" s="7"/>
      <c r="N32" s="7"/>
      <c r="O32" s="20"/>
    </row>
    <row r="33" ht="22.5" customHeight="1">
      <c r="A33" s="41"/>
      <c r="B33" s="37"/>
      <c r="C33" s="42"/>
      <c r="D33" s="22"/>
      <c r="E33" s="20"/>
      <c r="F33" s="20"/>
      <c r="G33" s="20"/>
      <c r="H33" s="20"/>
      <c r="I33" s="3" t="s">
        <v>48</v>
      </c>
      <c r="J33" s="4">
        <v>12.392999999999999</v>
      </c>
      <c r="K33" s="5" t="s">
        <v>18</v>
      </c>
      <c r="L33" s="6">
        <v>46071.0</v>
      </c>
      <c r="M33" s="7"/>
      <c r="N33" s="7"/>
      <c r="O33" s="20"/>
    </row>
    <row r="34" ht="22.5" customHeight="1">
      <c r="A34" s="39"/>
      <c r="B34" s="38"/>
      <c r="C34" s="40"/>
      <c r="D34" s="44"/>
      <c r="E34" s="45"/>
      <c r="F34" s="45"/>
      <c r="G34" s="45"/>
      <c r="H34" s="45"/>
      <c r="I34" s="3" t="s">
        <v>51</v>
      </c>
      <c r="J34" s="4">
        <v>33.660000000000004</v>
      </c>
      <c r="K34" s="5" t="s">
        <v>18</v>
      </c>
      <c r="L34" s="6">
        <v>46071.0</v>
      </c>
      <c r="M34" s="7"/>
      <c r="N34" s="7"/>
      <c r="O34" s="45"/>
      <c r="P34" s="45"/>
      <c r="Q34" s="45"/>
      <c r="R34" s="45"/>
      <c r="S34" s="45"/>
      <c r="T34" s="45"/>
      <c r="U34" s="45"/>
      <c r="V34" s="45"/>
    </row>
    <row r="35" ht="22.5" customHeight="1">
      <c r="A35" s="41"/>
      <c r="B35" s="37"/>
      <c r="C35" s="42"/>
      <c r="D35" s="46" t="s">
        <v>68</v>
      </c>
      <c r="E35" s="46"/>
      <c r="F35" s="45"/>
      <c r="G35" s="45"/>
      <c r="H35" s="45"/>
      <c r="I35" s="3" t="s">
        <v>69</v>
      </c>
      <c r="J35" s="4">
        <v>306.0</v>
      </c>
      <c r="K35" s="5" t="s">
        <v>19</v>
      </c>
      <c r="L35" s="6">
        <v>46071.0</v>
      </c>
      <c r="M35" s="7"/>
      <c r="N35" s="7"/>
      <c r="O35" s="45"/>
      <c r="P35" s="45"/>
      <c r="Q35" s="45"/>
      <c r="R35" s="45"/>
      <c r="S35" s="45"/>
      <c r="T35" s="45"/>
      <c r="U35" s="45"/>
      <c r="V35" s="45"/>
    </row>
    <row r="36" ht="22.5" customHeight="1">
      <c r="A36" s="47"/>
      <c r="B36" s="48"/>
      <c r="C36" s="49">
        <f>sum(CAN_I_AFFORD_IT?_4[[#HEADERS],[#DATA],[Cost]])</f>
        <v>0</v>
      </c>
      <c r="D36" s="50">
        <f>A18-CAN_I_AFFORD_IT?_4[[#TOTALS],[Cost]]</f>
        <v>1620.5784</v>
      </c>
      <c r="E36" s="45"/>
      <c r="F36" s="45"/>
      <c r="G36" s="45"/>
      <c r="H36" s="45"/>
      <c r="I36" s="3" t="s">
        <v>70</v>
      </c>
      <c r="J36" s="4">
        <v>35.3583</v>
      </c>
      <c r="K36" s="5" t="s">
        <v>18</v>
      </c>
      <c r="L36" s="6">
        <v>46072.0</v>
      </c>
      <c r="M36" s="7"/>
      <c r="N36" s="7"/>
      <c r="O36" s="45"/>
      <c r="P36" s="45"/>
      <c r="Q36" s="45"/>
      <c r="R36" s="45"/>
      <c r="S36" s="45"/>
      <c r="T36" s="45"/>
      <c r="U36" s="45"/>
      <c r="V36" s="45"/>
    </row>
    <row r="37" ht="22.5" customHeight="1">
      <c r="D37" s="44"/>
      <c r="E37" s="45"/>
      <c r="F37" s="45"/>
      <c r="G37" s="45"/>
      <c r="H37" s="45"/>
      <c r="I37" s="3" t="s">
        <v>71</v>
      </c>
      <c r="J37" s="4">
        <v>321.3</v>
      </c>
      <c r="K37" s="5" t="s">
        <v>28</v>
      </c>
      <c r="L37" s="6">
        <v>46072.0</v>
      </c>
      <c r="M37" s="7"/>
      <c r="N37" s="7"/>
      <c r="O37" s="45"/>
      <c r="P37" s="45"/>
      <c r="Q37" s="45"/>
      <c r="R37" s="45"/>
      <c r="S37" s="45"/>
      <c r="T37" s="45"/>
      <c r="U37" s="45"/>
      <c r="V37" s="45"/>
    </row>
    <row r="38" ht="22.5" customHeight="1">
      <c r="D38" s="44"/>
      <c r="E38" s="45"/>
      <c r="F38" s="45"/>
      <c r="G38" s="45"/>
      <c r="H38" s="45"/>
      <c r="I38" s="3" t="s">
        <v>72</v>
      </c>
      <c r="J38" s="4">
        <v>76.5</v>
      </c>
      <c r="K38" s="5" t="s">
        <v>36</v>
      </c>
      <c r="L38" s="6">
        <v>46073.0</v>
      </c>
      <c r="M38" s="7"/>
      <c r="N38" s="7"/>
      <c r="O38" s="45"/>
      <c r="P38" s="45"/>
      <c r="Q38" s="45"/>
      <c r="R38" s="45"/>
      <c r="S38" s="45"/>
      <c r="T38" s="45"/>
      <c r="U38" s="45"/>
      <c r="V38" s="45"/>
    </row>
    <row r="39" ht="22.5" customHeight="1">
      <c r="D39" s="44"/>
      <c r="E39" s="45"/>
      <c r="F39" s="45"/>
      <c r="G39" s="45"/>
      <c r="H39" s="45"/>
      <c r="I39" s="3" t="s">
        <v>73</v>
      </c>
      <c r="J39" s="4">
        <v>61.2</v>
      </c>
      <c r="K39" s="5" t="s">
        <v>26</v>
      </c>
      <c r="L39" s="6">
        <v>46073.0</v>
      </c>
      <c r="M39" s="7"/>
      <c r="N39" s="7"/>
      <c r="O39" s="45"/>
      <c r="P39" s="45"/>
      <c r="Q39" s="45"/>
      <c r="R39" s="45"/>
      <c r="S39" s="45"/>
      <c r="T39" s="45"/>
      <c r="U39" s="45"/>
      <c r="V39" s="45"/>
    </row>
    <row r="40" ht="22.5" customHeight="1">
      <c r="D40" s="44"/>
      <c r="E40" s="45"/>
      <c r="F40" s="45"/>
      <c r="G40" s="45"/>
      <c r="H40" s="45"/>
      <c r="I40" s="3" t="s">
        <v>48</v>
      </c>
      <c r="J40" s="4">
        <v>11.9646</v>
      </c>
      <c r="K40" s="5" t="s">
        <v>18</v>
      </c>
      <c r="L40" s="6">
        <v>46073.0</v>
      </c>
      <c r="M40" s="7"/>
      <c r="N40" s="7"/>
      <c r="O40" s="45"/>
      <c r="P40" s="45"/>
      <c r="Q40" s="45"/>
      <c r="R40" s="45"/>
      <c r="S40" s="45"/>
      <c r="T40" s="45"/>
      <c r="U40" s="45"/>
      <c r="V40" s="45"/>
    </row>
    <row r="41" ht="22.5" customHeight="1">
      <c r="D41" s="44"/>
      <c r="E41" s="45"/>
      <c r="F41" s="45"/>
      <c r="G41" s="45"/>
      <c r="H41" s="45"/>
      <c r="I41" s="3" t="s">
        <v>74</v>
      </c>
      <c r="J41" s="4">
        <v>38.1123</v>
      </c>
      <c r="K41" s="5" t="s">
        <v>18</v>
      </c>
      <c r="L41" s="6">
        <v>46073.0</v>
      </c>
      <c r="M41" s="7"/>
      <c r="N41" s="7"/>
      <c r="O41" s="45"/>
      <c r="P41" s="45"/>
      <c r="Q41" s="45"/>
      <c r="R41" s="45"/>
      <c r="S41" s="45"/>
      <c r="T41" s="45"/>
      <c r="U41" s="45"/>
      <c r="V41" s="45"/>
    </row>
    <row r="42" ht="22.5" customHeight="1">
      <c r="D42" s="44"/>
      <c r="E42" s="45"/>
      <c r="F42" s="45"/>
      <c r="G42" s="45"/>
      <c r="H42" s="45"/>
      <c r="I42" s="3" t="s">
        <v>67</v>
      </c>
      <c r="J42" s="4">
        <v>382.5</v>
      </c>
      <c r="K42" s="5" t="s">
        <v>19</v>
      </c>
      <c r="L42" s="6">
        <v>46074.0</v>
      </c>
      <c r="M42" s="7"/>
      <c r="N42" s="7"/>
      <c r="O42" s="45"/>
      <c r="P42" s="45"/>
      <c r="Q42" s="45"/>
      <c r="R42" s="45"/>
      <c r="S42" s="45"/>
      <c r="T42" s="45"/>
      <c r="U42" s="45"/>
      <c r="V42" s="45"/>
    </row>
    <row r="43" ht="22.5" customHeight="1">
      <c r="D43" s="44"/>
      <c r="E43" s="45"/>
      <c r="F43" s="45"/>
      <c r="G43" s="45"/>
      <c r="H43" s="45"/>
      <c r="I43" s="3" t="s">
        <v>75</v>
      </c>
      <c r="J43" s="4">
        <v>28.9629</v>
      </c>
      <c r="K43" s="5" t="s">
        <v>18</v>
      </c>
      <c r="L43" s="6">
        <v>46074.0</v>
      </c>
      <c r="M43" s="7"/>
      <c r="N43" s="7"/>
      <c r="O43" s="45"/>
      <c r="P43" s="45"/>
      <c r="Q43" s="45"/>
      <c r="R43" s="45"/>
      <c r="S43" s="45"/>
      <c r="T43" s="45"/>
      <c r="U43" s="45"/>
      <c r="V43" s="45"/>
    </row>
    <row r="44" ht="22.5" customHeight="1">
      <c r="D44" s="44"/>
      <c r="E44" s="45"/>
      <c r="F44" s="45"/>
      <c r="G44" s="45"/>
      <c r="H44" s="45"/>
      <c r="I44" s="3" t="s">
        <v>74</v>
      </c>
      <c r="J44" s="4">
        <v>35.19</v>
      </c>
      <c r="K44" s="5" t="s">
        <v>18</v>
      </c>
      <c r="L44" s="6">
        <v>46076.0</v>
      </c>
      <c r="M44" s="7"/>
      <c r="N44" s="7"/>
      <c r="O44" s="45"/>
      <c r="P44" s="45"/>
      <c r="Q44" s="45"/>
      <c r="R44" s="45"/>
      <c r="S44" s="45"/>
      <c r="T44" s="45"/>
      <c r="U44" s="45"/>
      <c r="V44" s="45"/>
    </row>
    <row r="45" ht="22.5" customHeight="1">
      <c r="D45" s="44"/>
      <c r="E45" s="45"/>
      <c r="F45" s="45"/>
      <c r="G45" s="45"/>
      <c r="H45" s="45"/>
      <c r="I45" s="3" t="s">
        <v>76</v>
      </c>
      <c r="J45" s="4">
        <v>14.6574</v>
      </c>
      <c r="K45" s="5" t="s">
        <v>18</v>
      </c>
      <c r="L45" s="6">
        <v>46076.0</v>
      </c>
      <c r="M45" s="7"/>
      <c r="N45" s="7"/>
      <c r="O45" s="45"/>
      <c r="P45" s="45"/>
      <c r="Q45" s="45"/>
      <c r="R45" s="45"/>
      <c r="S45" s="45"/>
      <c r="T45" s="45"/>
      <c r="U45" s="45"/>
      <c r="V45" s="45"/>
    </row>
    <row r="46" ht="22.5" customHeight="1">
      <c r="D46" s="44"/>
      <c r="E46" s="45"/>
      <c r="F46" s="45"/>
      <c r="G46" s="45"/>
      <c r="H46" s="45"/>
      <c r="I46" s="3" t="s">
        <v>48</v>
      </c>
      <c r="J46" s="4">
        <v>11.9646</v>
      </c>
      <c r="K46" s="5" t="s">
        <v>18</v>
      </c>
      <c r="L46" s="6">
        <v>46076.0</v>
      </c>
      <c r="M46" s="7"/>
      <c r="N46" s="7"/>
      <c r="O46" s="45"/>
      <c r="P46" s="45"/>
      <c r="Q46" s="45"/>
      <c r="R46" s="45"/>
      <c r="S46" s="45"/>
      <c r="T46" s="45"/>
      <c r="U46" s="45"/>
      <c r="V46" s="45"/>
    </row>
    <row r="47" ht="22.5" customHeight="1">
      <c r="D47" s="44"/>
      <c r="E47" s="45"/>
      <c r="F47" s="45"/>
      <c r="G47" s="45"/>
      <c r="H47" s="45"/>
      <c r="I47" s="3" t="s">
        <v>77</v>
      </c>
      <c r="J47" s="4">
        <v>81.3501</v>
      </c>
      <c r="K47" s="5" t="s">
        <v>36</v>
      </c>
      <c r="L47" s="6">
        <v>46076.0</v>
      </c>
      <c r="M47" s="7"/>
      <c r="N47" s="7"/>
      <c r="O47" s="45"/>
      <c r="P47" s="45"/>
      <c r="Q47" s="45"/>
      <c r="R47" s="45"/>
      <c r="S47" s="45"/>
      <c r="T47" s="45"/>
      <c r="U47" s="45"/>
      <c r="V47" s="45"/>
    </row>
    <row r="48" ht="22.5" customHeight="1">
      <c r="D48" s="44"/>
      <c r="E48" s="45"/>
      <c r="F48" s="45"/>
      <c r="G48" s="45"/>
      <c r="H48" s="45"/>
      <c r="I48" s="3" t="s">
        <v>50</v>
      </c>
      <c r="J48" s="4">
        <v>19.216800000000003</v>
      </c>
      <c r="K48" s="5" t="s">
        <v>33</v>
      </c>
      <c r="L48" s="6">
        <v>46076.0</v>
      </c>
      <c r="M48" s="7"/>
      <c r="N48" s="7"/>
      <c r="O48" s="45"/>
      <c r="P48" s="45"/>
      <c r="Q48" s="45"/>
      <c r="R48" s="45"/>
      <c r="S48" s="45"/>
      <c r="T48" s="45"/>
      <c r="U48" s="45"/>
      <c r="V48" s="45"/>
    </row>
    <row r="49" ht="22.5" customHeight="1">
      <c r="D49" s="44"/>
      <c r="E49" s="45"/>
      <c r="F49" s="45"/>
      <c r="G49" s="45"/>
      <c r="H49" s="45"/>
      <c r="I49" s="3" t="s">
        <v>40</v>
      </c>
      <c r="J49" s="4">
        <v>30.6</v>
      </c>
      <c r="K49" s="5" t="s">
        <v>33</v>
      </c>
      <c r="L49" s="6">
        <v>46077.0</v>
      </c>
      <c r="M49" s="7"/>
      <c r="N49" s="7"/>
      <c r="O49" s="45"/>
      <c r="P49" s="45"/>
      <c r="Q49" s="45"/>
      <c r="R49" s="45"/>
      <c r="S49" s="45"/>
      <c r="T49" s="45"/>
      <c r="U49" s="45"/>
      <c r="V49" s="45"/>
    </row>
    <row r="50" ht="22.5" customHeight="1">
      <c r="D50" s="44"/>
      <c r="E50" s="45"/>
      <c r="F50" s="45"/>
      <c r="G50" s="45"/>
      <c r="H50" s="45"/>
      <c r="I50" s="3" t="s">
        <v>78</v>
      </c>
      <c r="J50" s="4">
        <v>40.3767</v>
      </c>
      <c r="K50" s="5" t="s">
        <v>18</v>
      </c>
      <c r="L50" s="6">
        <v>46077.0</v>
      </c>
      <c r="M50" s="7"/>
      <c r="N50" s="7"/>
      <c r="O50" s="45"/>
      <c r="P50" s="45"/>
      <c r="Q50" s="45"/>
      <c r="R50" s="45"/>
      <c r="S50" s="45"/>
      <c r="T50" s="45"/>
      <c r="U50" s="45"/>
      <c r="V50" s="45"/>
    </row>
    <row r="51" ht="22.5" customHeight="1">
      <c r="D51" s="44"/>
      <c r="E51" s="45"/>
      <c r="F51" s="45"/>
      <c r="G51" s="45"/>
      <c r="H51" s="45"/>
      <c r="I51" s="3" t="s">
        <v>79</v>
      </c>
      <c r="J51" s="4">
        <v>35.8632</v>
      </c>
      <c r="K51" s="5" t="s">
        <v>33</v>
      </c>
      <c r="L51" s="6">
        <v>46078.0</v>
      </c>
      <c r="M51" s="7"/>
      <c r="N51" s="7"/>
      <c r="O51" s="45"/>
      <c r="P51" s="45"/>
      <c r="Q51" s="45"/>
      <c r="R51" s="45"/>
      <c r="S51" s="45"/>
      <c r="T51" s="45"/>
      <c r="U51" s="45"/>
      <c r="V51" s="45"/>
    </row>
    <row r="52" ht="22.5" customHeight="1">
      <c r="D52" s="44"/>
      <c r="E52" s="45"/>
      <c r="F52" s="45"/>
      <c r="G52" s="45"/>
      <c r="H52" s="45"/>
      <c r="I52" s="3" t="s">
        <v>80</v>
      </c>
      <c r="J52" s="4">
        <v>20.9457</v>
      </c>
      <c r="K52" s="5" t="s">
        <v>36</v>
      </c>
      <c r="L52" s="6">
        <v>46078.0</v>
      </c>
      <c r="M52" s="7"/>
      <c r="N52" s="7"/>
      <c r="O52" s="45"/>
      <c r="P52" s="45"/>
      <c r="Q52" s="45"/>
      <c r="R52" s="45"/>
      <c r="S52" s="45"/>
      <c r="T52" s="45"/>
      <c r="U52" s="45"/>
      <c r="V52" s="45"/>
    </row>
    <row r="53" ht="22.5" customHeight="1">
      <c r="D53" s="44"/>
      <c r="E53" s="45"/>
      <c r="F53" s="45"/>
      <c r="G53" s="45"/>
      <c r="H53" s="45"/>
      <c r="I53" s="3" t="s">
        <v>81</v>
      </c>
      <c r="J53" s="4">
        <v>18.543599999999998</v>
      </c>
      <c r="K53" s="5" t="s">
        <v>36</v>
      </c>
      <c r="L53" s="6">
        <v>46079.0</v>
      </c>
      <c r="M53" s="7"/>
      <c r="N53" s="7"/>
      <c r="O53" s="45"/>
      <c r="P53" s="45"/>
      <c r="Q53" s="45"/>
      <c r="R53" s="45"/>
      <c r="S53" s="45"/>
      <c r="T53" s="45"/>
      <c r="U53" s="45"/>
      <c r="V53" s="45"/>
    </row>
    <row r="54" ht="22.5" customHeight="1">
      <c r="D54" s="44"/>
      <c r="E54" s="45"/>
      <c r="F54" s="45"/>
      <c r="G54" s="45"/>
      <c r="H54" s="45"/>
      <c r="I54" s="3" t="s">
        <v>82</v>
      </c>
      <c r="J54" s="4">
        <v>19.8747</v>
      </c>
      <c r="K54" s="5" t="s">
        <v>38</v>
      </c>
      <c r="L54" s="6">
        <v>46080.0</v>
      </c>
      <c r="M54" s="7"/>
      <c r="N54" s="7"/>
      <c r="O54" s="45"/>
      <c r="P54" s="45"/>
      <c r="Q54" s="45"/>
      <c r="R54" s="45"/>
      <c r="S54" s="45"/>
      <c r="T54" s="45"/>
      <c r="U54" s="45"/>
      <c r="V54" s="45"/>
    </row>
    <row r="55" ht="22.5" customHeight="1">
      <c r="D55" s="44"/>
      <c r="E55" s="45"/>
      <c r="F55" s="45"/>
      <c r="G55" s="45"/>
      <c r="H55" s="45"/>
      <c r="I55" s="3" t="s">
        <v>83</v>
      </c>
      <c r="J55" s="4">
        <v>41.1723</v>
      </c>
      <c r="K55" s="5" t="s">
        <v>33</v>
      </c>
      <c r="L55" s="6">
        <v>46081.0</v>
      </c>
      <c r="M55" s="7"/>
      <c r="N55" s="7"/>
      <c r="O55" s="45"/>
      <c r="P55" s="45"/>
      <c r="Q55" s="45"/>
      <c r="R55" s="45"/>
      <c r="S55" s="45"/>
      <c r="T55" s="45"/>
      <c r="U55" s="45"/>
      <c r="V55" s="45"/>
    </row>
    <row r="56" ht="22.5" customHeight="1">
      <c r="D56" s="44"/>
      <c r="E56" s="45"/>
      <c r="F56" s="45"/>
      <c r="G56" s="45"/>
      <c r="H56" s="45"/>
      <c r="O56" s="45"/>
      <c r="P56" s="45"/>
      <c r="Q56" s="45"/>
      <c r="R56" s="45"/>
      <c r="S56" s="45"/>
      <c r="T56" s="45"/>
      <c r="U56" s="45"/>
      <c r="V56" s="45"/>
    </row>
    <row r="57" ht="22.5" customHeight="1">
      <c r="D57" s="44"/>
      <c r="E57" s="45"/>
      <c r="F57" s="45"/>
      <c r="G57" s="45"/>
      <c r="H57" s="45"/>
      <c r="O57" s="45"/>
      <c r="P57" s="45"/>
      <c r="Q57" s="45"/>
      <c r="R57" s="45"/>
      <c r="S57" s="45"/>
      <c r="T57" s="45"/>
      <c r="U57" s="45"/>
      <c r="V57" s="45"/>
    </row>
    <row r="58" ht="22.5" customHeight="1">
      <c r="D58" s="44"/>
      <c r="E58" s="45"/>
      <c r="F58" s="45"/>
      <c r="G58" s="45"/>
      <c r="H58" s="45"/>
      <c r="I58" s="3"/>
      <c r="J58" s="4"/>
      <c r="K58" s="51"/>
      <c r="L58" s="6"/>
      <c r="M58" s="7"/>
      <c r="N58" s="7"/>
      <c r="O58" s="45"/>
      <c r="P58" s="45"/>
      <c r="Q58" s="45"/>
      <c r="R58" s="45"/>
      <c r="S58" s="45"/>
      <c r="T58" s="45"/>
      <c r="U58" s="45"/>
      <c r="V58" s="45"/>
    </row>
    <row r="59" ht="22.5" customHeight="1">
      <c r="D59" s="44"/>
      <c r="E59" s="45"/>
      <c r="F59" s="45"/>
      <c r="G59" s="45"/>
      <c r="H59" s="45"/>
      <c r="I59" s="3"/>
      <c r="J59" s="4"/>
      <c r="K59" s="51"/>
      <c r="L59" s="6"/>
      <c r="M59" s="7"/>
      <c r="N59" s="7"/>
      <c r="O59" s="45"/>
      <c r="P59" s="45"/>
      <c r="Q59" s="45"/>
      <c r="R59" s="45"/>
      <c r="S59" s="45"/>
      <c r="T59" s="45"/>
      <c r="U59" s="45"/>
      <c r="V59" s="45"/>
    </row>
    <row r="60" ht="22.5" customHeight="1">
      <c r="D60" s="44"/>
      <c r="E60" s="45"/>
      <c r="F60" s="45"/>
      <c r="G60" s="45"/>
      <c r="H60" s="45"/>
      <c r="I60" s="17"/>
      <c r="J60" s="18">
        <f>SUM(EXPENSES_4[Amount Spent])</f>
        <v>3365.1432</v>
      </c>
      <c r="K60" s="19"/>
      <c r="L60" s="18"/>
      <c r="M60" s="19"/>
      <c r="N60" s="19"/>
      <c r="O60" s="45"/>
      <c r="P60" s="45"/>
      <c r="Q60" s="45"/>
      <c r="R60" s="45"/>
      <c r="S60" s="45"/>
      <c r="T60" s="45"/>
      <c r="U60" s="45"/>
      <c r="V60" s="45"/>
    </row>
    <row r="61">
      <c r="D61" s="44"/>
      <c r="E61" s="45"/>
      <c r="F61" s="45"/>
      <c r="G61" s="45"/>
      <c r="H61" s="45"/>
      <c r="I61" s="21"/>
      <c r="J61" s="22"/>
      <c r="K61" s="20"/>
      <c r="L61" s="22"/>
      <c r="M61" s="20"/>
      <c r="N61" s="20"/>
      <c r="O61" s="45"/>
      <c r="P61" s="45"/>
      <c r="Q61" s="45"/>
      <c r="R61" s="45"/>
      <c r="S61" s="45"/>
      <c r="T61" s="45"/>
      <c r="U61" s="45"/>
      <c r="V61" s="45"/>
    </row>
    <row r="62">
      <c r="D62" s="44"/>
      <c r="E62" s="45"/>
      <c r="F62" s="45"/>
      <c r="G62" s="45"/>
      <c r="H62" s="45"/>
      <c r="I62" s="21"/>
      <c r="J62" s="22"/>
      <c r="K62" s="20"/>
      <c r="L62" s="22"/>
      <c r="M62" s="20"/>
      <c r="N62" s="20"/>
      <c r="O62" s="45"/>
      <c r="P62" s="45"/>
      <c r="Q62" s="45"/>
      <c r="R62" s="45"/>
      <c r="S62" s="45"/>
      <c r="T62" s="45"/>
      <c r="U62" s="45"/>
      <c r="V62" s="45"/>
    </row>
    <row r="63">
      <c r="D63" s="44"/>
      <c r="E63" s="45"/>
      <c r="F63" s="45"/>
      <c r="G63" s="45"/>
      <c r="H63" s="45"/>
      <c r="I63" s="21"/>
      <c r="J63" s="22"/>
      <c r="K63" s="20"/>
      <c r="L63" s="22"/>
      <c r="M63" s="20"/>
      <c r="N63" s="20"/>
      <c r="O63" s="45"/>
      <c r="P63" s="45"/>
      <c r="Q63" s="45"/>
      <c r="R63" s="45"/>
      <c r="S63" s="45"/>
      <c r="T63" s="45"/>
      <c r="U63" s="45"/>
      <c r="V63" s="45"/>
    </row>
    <row r="64">
      <c r="D64" s="44"/>
      <c r="E64" s="45"/>
      <c r="F64" s="45"/>
      <c r="G64" s="45"/>
      <c r="H64" s="45"/>
      <c r="I64" s="44"/>
      <c r="J64" s="44"/>
      <c r="K64" s="45"/>
      <c r="L64" s="44"/>
      <c r="M64" s="45"/>
      <c r="N64" s="45"/>
      <c r="O64" s="45"/>
      <c r="P64" s="45"/>
      <c r="Q64" s="45"/>
      <c r="R64" s="45"/>
      <c r="S64" s="45"/>
      <c r="T64" s="45"/>
      <c r="U64" s="45"/>
      <c r="V64" s="45"/>
    </row>
    <row r="65">
      <c r="D65" s="44"/>
      <c r="E65" s="45"/>
      <c r="F65" s="45"/>
      <c r="G65" s="45"/>
      <c r="H65" s="45"/>
      <c r="I65" s="44"/>
      <c r="J65" s="44"/>
      <c r="K65" s="45"/>
      <c r="L65" s="44"/>
      <c r="M65" s="45"/>
      <c r="N65" s="45"/>
      <c r="O65" s="45"/>
      <c r="P65" s="45"/>
      <c r="Q65" s="45"/>
      <c r="R65" s="45"/>
      <c r="S65" s="45"/>
      <c r="T65" s="45"/>
      <c r="U65" s="45"/>
      <c r="V65" s="45"/>
    </row>
    <row r="66">
      <c r="D66" s="44"/>
      <c r="E66" s="45"/>
      <c r="F66" s="45"/>
      <c r="G66" s="45"/>
      <c r="H66" s="45"/>
      <c r="I66" s="44"/>
      <c r="J66" s="44"/>
      <c r="K66" s="45"/>
      <c r="L66" s="44"/>
      <c r="M66" s="45"/>
      <c r="N66" s="45"/>
      <c r="O66" s="45"/>
      <c r="P66" s="45"/>
      <c r="Q66" s="45"/>
      <c r="R66" s="45"/>
      <c r="S66" s="45"/>
      <c r="T66" s="45"/>
      <c r="U66" s="45"/>
      <c r="V66" s="45"/>
    </row>
    <row r="67">
      <c r="D67" s="44"/>
      <c r="E67" s="45"/>
      <c r="F67" s="45"/>
      <c r="G67" s="45"/>
      <c r="H67" s="45"/>
      <c r="I67" s="44"/>
      <c r="J67" s="44"/>
      <c r="K67" s="45"/>
      <c r="L67" s="44"/>
      <c r="M67" s="45"/>
      <c r="N67" s="45"/>
      <c r="O67" s="45"/>
      <c r="P67" s="45"/>
      <c r="Q67" s="45"/>
      <c r="R67" s="45"/>
      <c r="S67" s="45"/>
      <c r="T67" s="45"/>
      <c r="U67" s="45"/>
      <c r="V67" s="45"/>
    </row>
    <row r="68">
      <c r="D68" s="44"/>
      <c r="E68" s="45"/>
      <c r="F68" s="45"/>
      <c r="G68" s="45"/>
      <c r="H68" s="45"/>
      <c r="I68" s="44"/>
      <c r="J68" s="44"/>
      <c r="K68" s="45"/>
      <c r="L68" s="44"/>
      <c r="M68" s="45"/>
      <c r="N68" s="45"/>
      <c r="O68" s="45"/>
      <c r="P68" s="45"/>
      <c r="Q68" s="45"/>
      <c r="R68" s="45"/>
      <c r="S68" s="45"/>
      <c r="T68" s="45"/>
      <c r="U68" s="45"/>
      <c r="V68" s="45"/>
    </row>
    <row r="69">
      <c r="D69" s="44"/>
      <c r="E69" s="45"/>
      <c r="F69" s="45"/>
      <c r="G69" s="45"/>
      <c r="H69" s="45"/>
      <c r="I69" s="44"/>
      <c r="J69" s="44"/>
      <c r="K69" s="45"/>
      <c r="L69" s="44"/>
      <c r="M69" s="45"/>
      <c r="N69" s="45"/>
      <c r="O69" s="45"/>
      <c r="P69" s="45"/>
      <c r="Q69" s="45"/>
      <c r="R69" s="45"/>
      <c r="S69" s="45"/>
      <c r="T69" s="45"/>
      <c r="U69" s="45"/>
      <c r="V69" s="45"/>
    </row>
    <row r="70">
      <c r="D70" s="44"/>
      <c r="E70" s="45"/>
      <c r="F70" s="45"/>
      <c r="G70" s="45"/>
      <c r="H70" s="45"/>
      <c r="I70" s="44"/>
      <c r="J70" s="44"/>
      <c r="K70" s="45"/>
      <c r="L70" s="44"/>
      <c r="M70" s="45"/>
      <c r="N70" s="45"/>
      <c r="O70" s="45"/>
      <c r="P70" s="45"/>
      <c r="Q70" s="45"/>
      <c r="R70" s="45"/>
      <c r="S70" s="45"/>
      <c r="T70" s="45"/>
      <c r="U70" s="45"/>
      <c r="V70" s="45"/>
    </row>
    <row r="71">
      <c r="D71" s="44"/>
      <c r="E71" s="45"/>
      <c r="F71" s="45"/>
      <c r="G71" s="45"/>
      <c r="H71" s="45"/>
      <c r="I71" s="44"/>
      <c r="J71" s="44"/>
      <c r="K71" s="45"/>
      <c r="L71" s="44"/>
      <c r="M71" s="45"/>
      <c r="N71" s="45"/>
      <c r="O71" s="45"/>
      <c r="P71" s="45"/>
      <c r="Q71" s="45"/>
      <c r="R71" s="45"/>
      <c r="S71" s="45"/>
      <c r="T71" s="45"/>
      <c r="U71" s="45"/>
      <c r="V71" s="45"/>
    </row>
    <row r="72">
      <c r="D72" s="44"/>
      <c r="E72" s="45"/>
      <c r="F72" s="45"/>
      <c r="G72" s="45"/>
      <c r="H72" s="45"/>
      <c r="I72" s="44"/>
      <c r="J72" s="44"/>
      <c r="K72" s="45"/>
      <c r="L72" s="44"/>
      <c r="M72" s="45"/>
      <c r="N72" s="45"/>
      <c r="O72" s="45"/>
      <c r="P72" s="45"/>
      <c r="Q72" s="45"/>
      <c r="R72" s="45"/>
      <c r="S72" s="45"/>
      <c r="T72" s="45"/>
      <c r="U72" s="45"/>
      <c r="V72" s="45"/>
    </row>
    <row r="73">
      <c r="D73" s="44"/>
      <c r="E73" s="45"/>
      <c r="F73" s="45"/>
      <c r="G73" s="45"/>
      <c r="H73" s="45"/>
      <c r="I73" s="44"/>
      <c r="J73" s="44"/>
      <c r="K73" s="45"/>
      <c r="L73" s="44"/>
      <c r="M73" s="45"/>
      <c r="N73" s="45"/>
      <c r="O73" s="45"/>
      <c r="P73" s="45"/>
      <c r="Q73" s="45"/>
      <c r="R73" s="45"/>
      <c r="S73" s="45"/>
      <c r="T73" s="45"/>
      <c r="U73" s="45"/>
      <c r="V73" s="45"/>
    </row>
    <row r="74">
      <c r="D74" s="44"/>
      <c r="E74" s="45"/>
      <c r="F74" s="45"/>
      <c r="G74" s="45"/>
      <c r="H74" s="45"/>
      <c r="I74" s="44"/>
      <c r="J74" s="44"/>
      <c r="K74" s="45"/>
      <c r="L74" s="44"/>
      <c r="M74" s="45"/>
      <c r="N74" s="45"/>
      <c r="O74" s="45"/>
      <c r="P74" s="45"/>
      <c r="Q74" s="45"/>
      <c r="R74" s="45"/>
      <c r="S74" s="45"/>
      <c r="T74" s="45"/>
      <c r="U74" s="45"/>
      <c r="V74" s="45"/>
    </row>
    <row r="75">
      <c r="D75" s="44"/>
      <c r="E75" s="45"/>
      <c r="F75" s="45"/>
      <c r="G75" s="45"/>
      <c r="H75" s="45"/>
      <c r="I75" s="44"/>
      <c r="J75" s="44"/>
      <c r="K75" s="45"/>
      <c r="L75" s="44"/>
      <c r="M75" s="45"/>
      <c r="N75" s="45"/>
      <c r="O75" s="45"/>
      <c r="P75" s="45"/>
      <c r="Q75" s="45"/>
      <c r="R75" s="45"/>
      <c r="S75" s="45"/>
      <c r="T75" s="45"/>
      <c r="U75" s="45"/>
      <c r="V75" s="45"/>
    </row>
    <row r="76">
      <c r="D76" s="44"/>
      <c r="E76" s="45"/>
      <c r="F76" s="45"/>
      <c r="G76" s="45"/>
      <c r="H76" s="45"/>
      <c r="I76" s="44"/>
      <c r="J76" s="44"/>
      <c r="K76" s="45"/>
      <c r="L76" s="44"/>
      <c r="M76" s="45"/>
      <c r="N76" s="45"/>
      <c r="O76" s="45"/>
      <c r="P76" s="45"/>
      <c r="Q76" s="45"/>
      <c r="R76" s="45"/>
      <c r="S76" s="45"/>
      <c r="T76" s="45"/>
      <c r="U76" s="45"/>
      <c r="V76" s="45"/>
    </row>
    <row r="77">
      <c r="D77" s="44"/>
      <c r="E77" s="45"/>
      <c r="F77" s="45"/>
      <c r="G77" s="45"/>
      <c r="H77" s="45"/>
      <c r="I77" s="44"/>
      <c r="J77" s="44"/>
      <c r="K77" s="45"/>
      <c r="L77" s="44"/>
      <c r="M77" s="45"/>
      <c r="N77" s="45"/>
      <c r="O77" s="45"/>
      <c r="P77" s="45"/>
      <c r="Q77" s="45"/>
      <c r="R77" s="45"/>
      <c r="S77" s="45"/>
      <c r="T77" s="45"/>
      <c r="U77" s="45"/>
      <c r="V77" s="45"/>
    </row>
    <row r="78">
      <c r="D78" s="44"/>
      <c r="E78" s="45"/>
      <c r="F78" s="45"/>
      <c r="G78" s="45"/>
      <c r="H78" s="45"/>
      <c r="I78" s="44"/>
      <c r="J78" s="44"/>
      <c r="K78" s="45"/>
      <c r="L78" s="44"/>
      <c r="M78" s="45"/>
      <c r="N78" s="45"/>
      <c r="O78" s="45"/>
      <c r="P78" s="45"/>
      <c r="Q78" s="45"/>
      <c r="R78" s="45"/>
      <c r="S78" s="45"/>
      <c r="T78" s="45"/>
      <c r="U78" s="45"/>
      <c r="V78" s="45"/>
    </row>
  </sheetData>
  <conditionalFormatting sqref="T1:T15">
    <cfRule type="cellIs" dxfId="12" priority="1" operator="lessThan">
      <formula>0</formula>
    </cfRule>
  </conditionalFormatting>
  <conditionalFormatting sqref="T1:T15">
    <cfRule type="cellIs" dxfId="13" priority="2" operator="equal">
      <formula>0</formula>
    </cfRule>
  </conditionalFormatting>
  <conditionalFormatting sqref="T1:T15">
    <cfRule type="cellIs" dxfId="14" priority="3" operator="greaterThan">
      <formula>0</formula>
    </cfRule>
  </conditionalFormatting>
  <conditionalFormatting sqref="A18">
    <cfRule type="notContainsBlanks" dxfId="15" priority="4">
      <formula>LEN(TRIM(A18))&gt;0</formula>
    </cfRule>
  </conditionalFormatting>
  <dataValidations>
    <dataValidation type="custom" allowBlank="1" showDropDown="1" sqref="T2:T15">
      <formula1>AND(ISNUMBER(T2),(NOT(OR(NOT(ISERROR(DATEVALUE(T2))), AND(ISNUMBER(T2), LEFT(CELL("format", T2))="D")))))</formula1>
    </dataValidation>
    <dataValidation type="custom" allowBlank="1" showDropDown="1" sqref="B2:B14 C23:C35 J2:J59">
      <formula1>AND(ISNUMBER(B2),(NOT(OR(NOT(ISERROR(DATEVALUE(B2))), AND(ISNUMBER(B2), LEFT(CELL("format", B2))="D")))))</formula1>
    </dataValidation>
    <dataValidation type="custom" allowBlank="1" showDropDown="1" sqref="D2:D14 L2:L59">
      <formula1>OR(NOT(ISERROR(DATEVALUE(D2))), AND(ISNUMBER(D2), LEFT(CELL("format", D2))="D"))</formula1>
    </dataValidation>
    <dataValidation allowBlank="1" showDropDown="1" sqref="A2:A14 G2:G14 A23:A35 I2:I59 N2:N59"/>
    <dataValidation type="custom" allowBlank="1" showDropDown="1" sqref="R2:S15">
      <formula1>AND(ISNUMBER(R2),(NOT(OR(NOT(ISERROR(DATEVALUE(R2))), AND(ISNUMBER(R2), LEFT(CELL("format", R2))="D")))))</formula1>
    </dataValidation>
    <dataValidation type="list" allowBlank="1" sqref="C2:C14">
      <formula1>"FXW Job,Zelle, Cashapp, Etc.,Other"</formula1>
    </dataValidation>
    <dataValidation type="list" allowBlank="1" sqref="B23:B35">
      <formula1>"Food,Transportation,Debt,Personal,Investment/Smart Finances,Health,Travel,Giving,Zelle, Cashapp, Etc.,Subscriptions"</formula1>
    </dataValidation>
    <dataValidation type="list" allowBlank="1" sqref="K2:K59">
      <formula1>"Food,Transportation,Debt,Personal,Investment/Smart Finances,Health,Travel,Unsure: FIND OUT,Giving,Zelle, Cashapp, Etc.,Subscriptions"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5.63"/>
    <col customWidth="1" min="3" max="3" width="20.25"/>
    <col customWidth="1" min="4" max="4" width="19.5"/>
    <col customWidth="1" min="5" max="5" width="15.88"/>
    <col customWidth="1" min="6" max="6" width="18.13"/>
    <col customWidth="1" min="7" max="7" width="13.13"/>
    <col customWidth="1" min="8" max="8" width="13.88"/>
    <col customWidth="1" min="9" max="9" width="29.0"/>
    <col customWidth="1" min="10" max="10" width="19.38"/>
    <col customWidth="1" min="11" max="11" width="20.25"/>
    <col customWidth="1" min="12" max="12" width="15.0"/>
    <col customWidth="1" min="13" max="13" width="14.5"/>
    <col customWidth="1" min="14" max="14" width="21.0"/>
    <col customWidth="1" min="15" max="15" width="18.25"/>
    <col customWidth="1" min="16" max="16" width="23.0"/>
    <col customWidth="1" min="17" max="17" width="19.38"/>
    <col customWidth="1" min="18" max="18" width="17.25"/>
    <col customWidth="1" min="19" max="19" width="23.5"/>
    <col customWidth="1" min="20" max="20" width="16.5"/>
    <col customWidth="1" min="21" max="22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 ht="22.5" customHeight="1">
      <c r="A2" s="3" t="s">
        <v>90</v>
      </c>
      <c r="B2" s="4">
        <v>1360.9044999999999</v>
      </c>
      <c r="C2" s="5" t="s">
        <v>16</v>
      </c>
      <c r="D2" s="6">
        <v>46081.0</v>
      </c>
      <c r="E2" s="7"/>
      <c r="F2" s="7"/>
      <c r="G2" s="7"/>
      <c r="H2" s="8"/>
      <c r="I2" s="3" t="s">
        <v>24</v>
      </c>
      <c r="J2" s="4">
        <v>335.16</v>
      </c>
      <c r="K2" s="5" t="s">
        <v>25</v>
      </c>
      <c r="L2" s="6">
        <v>46082.0</v>
      </c>
      <c r="M2" s="7"/>
      <c r="N2" s="7"/>
      <c r="P2" s="9" t="s">
        <v>19</v>
      </c>
      <c r="Q2" s="10">
        <f>COUNTIF(EXPENSES[[#HEADERS],[#DATA],[Column 3]], "Debt")</f>
        <v>1</v>
      </c>
      <c r="R2" s="11">
        <f>SUMIF(EXPENSES[[#HEADERS],[#DATA],[Column 3]], "Debt", EXPENSES[[#HEADERS],[#DATA],[Column 2]])</f>
        <v>147.44</v>
      </c>
      <c r="S2" s="4">
        <v>550.0</v>
      </c>
      <c r="T2" s="11">
        <f t="shared" ref="T2:T15" si="1">S2-R2</f>
        <v>402.56</v>
      </c>
    </row>
    <row r="3" ht="22.5" customHeight="1">
      <c r="A3" s="3" t="s">
        <v>91</v>
      </c>
      <c r="B3" s="4">
        <v>97.8834</v>
      </c>
      <c r="C3" s="5" t="s">
        <v>28</v>
      </c>
      <c r="D3" s="6">
        <v>46084.0</v>
      </c>
      <c r="E3" s="7"/>
      <c r="F3" s="7"/>
      <c r="G3" s="7"/>
      <c r="H3" s="8"/>
      <c r="I3" s="3" t="s">
        <v>92</v>
      </c>
      <c r="J3" s="4">
        <v>26.113599999999998</v>
      </c>
      <c r="K3" s="5" t="s">
        <v>18</v>
      </c>
      <c r="L3" s="6">
        <v>46083.0</v>
      </c>
      <c r="M3" s="7"/>
      <c r="N3" s="7"/>
      <c r="P3" s="9" t="s">
        <v>18</v>
      </c>
      <c r="Q3" s="10">
        <f>COUNTIF(EXPENSES[[#HEADERS],[#DATA],[Column 3]], "Food")</f>
        <v>10</v>
      </c>
      <c r="R3" s="11">
        <f>SUMIF(EXPENSES[[#HEADERS],[#DATA],[Column 3]], "Food", EXPENSES[[#HEADERS],[#DATA],[Column 2]])</f>
        <v>209.152</v>
      </c>
      <c r="S3" s="4">
        <v>500.0</v>
      </c>
      <c r="T3" s="11">
        <f t="shared" si="1"/>
        <v>290.848</v>
      </c>
    </row>
    <row r="4" ht="22.5" customHeight="1">
      <c r="A4" s="3" t="s">
        <v>93</v>
      </c>
      <c r="B4" s="4">
        <v>86.5</v>
      </c>
      <c r="C4" s="5" t="s">
        <v>28</v>
      </c>
      <c r="D4" s="6">
        <v>46087.0</v>
      </c>
      <c r="E4" s="7"/>
      <c r="F4" s="7"/>
      <c r="G4" s="7"/>
      <c r="H4" s="8"/>
      <c r="I4" s="3" t="s">
        <v>94</v>
      </c>
      <c r="J4" s="4">
        <v>30.4</v>
      </c>
      <c r="K4" s="5" t="s">
        <v>33</v>
      </c>
      <c r="L4" s="6">
        <v>46084.0</v>
      </c>
      <c r="M4" s="7"/>
      <c r="N4" s="7"/>
      <c r="P4" s="9" t="s">
        <v>26</v>
      </c>
      <c r="Q4" s="10">
        <f>COUNTIF(EXPENSES[[#HEADERS],[#DATA],[Column 3]], "Giving")</f>
        <v>2</v>
      </c>
      <c r="R4" s="11">
        <f>SUMIF(EXPENSES[[#HEADERS],[#DATA],[Column 3]], "Giving", EXPENSES[[#HEADERS],[#DATA],[Column 2]])</f>
        <v>43.5176</v>
      </c>
      <c r="S4" s="4">
        <v>10.0</v>
      </c>
      <c r="T4" s="11">
        <f t="shared" si="1"/>
        <v>-33.5176</v>
      </c>
    </row>
    <row r="5" ht="22.5" customHeight="1">
      <c r="A5" s="3" t="s">
        <v>95</v>
      </c>
      <c r="B5" s="4">
        <v>432.5</v>
      </c>
      <c r="C5" s="5" t="s">
        <v>28</v>
      </c>
      <c r="D5" s="6">
        <v>46092.0</v>
      </c>
      <c r="E5" s="7"/>
      <c r="F5" s="7"/>
      <c r="G5" s="7"/>
      <c r="H5" s="8"/>
      <c r="I5" s="3" t="s">
        <v>96</v>
      </c>
      <c r="J5" s="4">
        <v>16.7048</v>
      </c>
      <c r="K5" s="5" t="s">
        <v>33</v>
      </c>
      <c r="L5" s="6">
        <v>46085.0</v>
      </c>
      <c r="M5" s="7"/>
      <c r="N5" s="7"/>
      <c r="P5" s="9" t="s">
        <v>30</v>
      </c>
      <c r="Q5" s="10">
        <f>COUNTIF(EXPENSES[[#HEADERS],[#DATA],[Column 3]], "Health")</f>
        <v>0</v>
      </c>
      <c r="R5" s="11">
        <f>SUMIF(EXPENSES[[#HEADERS],[#DATA],[Column 3]], "Health", EXPENSES[[#HEADERS],[#DATA],[Column 2]])</f>
        <v>0</v>
      </c>
      <c r="S5" s="4">
        <v>25.0</v>
      </c>
      <c r="T5" s="11">
        <f t="shared" si="1"/>
        <v>25</v>
      </c>
    </row>
    <row r="6" ht="22.5" customHeight="1">
      <c r="A6" s="3" t="s">
        <v>20</v>
      </c>
      <c r="B6" s="4">
        <v>1336.7017999999998</v>
      </c>
      <c r="C6" s="5" t="s">
        <v>21</v>
      </c>
      <c r="D6" s="6">
        <v>46094.0</v>
      </c>
      <c r="E6" s="7"/>
      <c r="F6" s="7"/>
      <c r="G6" s="7"/>
      <c r="H6" s="8"/>
      <c r="I6" s="3" t="s">
        <v>74</v>
      </c>
      <c r="J6" s="4">
        <v>34.9144</v>
      </c>
      <c r="K6" s="5" t="s">
        <v>18</v>
      </c>
      <c r="L6" s="6">
        <v>46086.0</v>
      </c>
      <c r="M6" s="7"/>
      <c r="N6" s="7"/>
      <c r="P6" s="9" t="s">
        <v>34</v>
      </c>
      <c r="Q6" s="10">
        <f>COUNTIF(EXPENSES[[#HEADERS],[#DATA],[Column 3]], "Investment/Smart Finances")</f>
        <v>0</v>
      </c>
      <c r="R6" s="11">
        <f>SUMIF(EXPENSES[[#HEADERS],[#DATA],[Column 3]], "Investment/Smart Finances", EXPENSES[[#HEADERS],[#DATA],[Column 2]])</f>
        <v>0</v>
      </c>
      <c r="S6" s="11"/>
      <c r="T6" s="11">
        <f t="shared" si="1"/>
        <v>0</v>
      </c>
    </row>
    <row r="7" ht="22.5" customHeight="1">
      <c r="A7" s="3" t="s">
        <v>27</v>
      </c>
      <c r="B7" s="4">
        <v>173.0</v>
      </c>
      <c r="C7" s="5" t="s">
        <v>28</v>
      </c>
      <c r="D7" s="6">
        <v>46104.0</v>
      </c>
      <c r="E7" s="7"/>
      <c r="F7" s="7"/>
      <c r="G7" s="7"/>
      <c r="H7" s="8"/>
      <c r="I7" s="3" t="s">
        <v>97</v>
      </c>
      <c r="J7" s="4">
        <v>34.96</v>
      </c>
      <c r="K7" s="5" t="s">
        <v>18</v>
      </c>
      <c r="L7" s="6">
        <v>46090.0</v>
      </c>
      <c r="M7" s="7"/>
      <c r="N7" s="7"/>
      <c r="P7" s="9" t="s">
        <v>36</v>
      </c>
      <c r="Q7" s="10">
        <f>COUNTIF(EXPENSES[[#HEADERS],[#DATA],[Column 3]], "Personal")</f>
        <v>8</v>
      </c>
      <c r="R7" s="11">
        <f>SUMIF(EXPENSES[[#HEADERS],[#DATA],[Column 3]], "Personal" , EXPENSES[[#HEADERS],[#DATA],[Column 2]])</f>
        <v>1410.6208</v>
      </c>
      <c r="S7" s="4">
        <v>200.0</v>
      </c>
      <c r="T7" s="11">
        <f t="shared" si="1"/>
        <v>-1210.6208</v>
      </c>
    </row>
    <row r="8" ht="22.5" customHeight="1">
      <c r="A8" s="3" t="s">
        <v>98</v>
      </c>
      <c r="B8" s="4">
        <v>36.33</v>
      </c>
      <c r="C8" s="5" t="s">
        <v>28</v>
      </c>
      <c r="D8" s="6">
        <v>46104.0</v>
      </c>
      <c r="E8" s="7"/>
      <c r="F8" s="7"/>
      <c r="G8" s="7"/>
      <c r="H8" s="8"/>
      <c r="I8" s="3" t="s">
        <v>99</v>
      </c>
      <c r="J8" s="4">
        <v>213.7272</v>
      </c>
      <c r="K8" s="5" t="s">
        <v>36</v>
      </c>
      <c r="L8" s="6">
        <v>46091.0</v>
      </c>
      <c r="M8" s="7"/>
      <c r="N8" s="7"/>
      <c r="P8" s="9" t="s">
        <v>38</v>
      </c>
      <c r="Q8" s="10">
        <f>COUNTIF(EXPENSES[[#HEADERS],[#DATA],[Column 3]], "Subscriptions")</f>
        <v>1</v>
      </c>
      <c r="R8" s="11">
        <f>SUMIF(EXPENSES[[#HEADERS],[#DATA],[Column 3]], "Subscriptions", EXPENSES[[#HEADERS],[#DATA],[Column 2]])</f>
        <v>19.7448</v>
      </c>
      <c r="S8" s="4">
        <v>32.0</v>
      </c>
      <c r="T8" s="11">
        <f t="shared" si="1"/>
        <v>12.2552</v>
      </c>
    </row>
    <row r="9" ht="22.5" customHeight="1">
      <c r="A9" s="3" t="s">
        <v>20</v>
      </c>
      <c r="B9" s="4">
        <v>1055.5249</v>
      </c>
      <c r="C9" s="5" t="s">
        <v>21</v>
      </c>
      <c r="D9" s="6">
        <v>46112.0</v>
      </c>
      <c r="E9" s="7"/>
      <c r="F9" s="7"/>
      <c r="G9" s="7"/>
      <c r="H9" s="8"/>
      <c r="I9" s="3" t="s">
        <v>100</v>
      </c>
      <c r="J9" s="4">
        <v>28.9864</v>
      </c>
      <c r="K9" s="5" t="s">
        <v>18</v>
      </c>
      <c r="L9" s="6">
        <v>46091.0</v>
      </c>
      <c r="M9" s="7"/>
      <c r="N9" s="7"/>
      <c r="P9" s="9" t="s">
        <v>33</v>
      </c>
      <c r="Q9" s="10">
        <f>COUNTIF(EXPENSES[[#HEADERS],[#DATA],[Column 3]], "Transportation")</f>
        <v>4</v>
      </c>
      <c r="R9" s="11">
        <f>SUMIF(EXPENSES[[#HEADERS],[#DATA],[Column 3]], "Transportation", EXPENSES[[#HEADERS],[#DATA],[Column 2]])</f>
        <v>107.9048</v>
      </c>
      <c r="S9" s="4">
        <v>100.0</v>
      </c>
      <c r="T9" s="11">
        <f t="shared" si="1"/>
        <v>-7.9048</v>
      </c>
    </row>
    <row r="10" ht="22.5" customHeight="1">
      <c r="A10" s="3"/>
      <c r="B10" s="4"/>
      <c r="C10" s="51"/>
      <c r="D10" s="15"/>
      <c r="E10" s="7"/>
      <c r="F10" s="7"/>
      <c r="G10" s="7"/>
      <c r="H10" s="8"/>
      <c r="I10" s="3" t="s">
        <v>101</v>
      </c>
      <c r="J10" s="4">
        <v>5.0920000000000005</v>
      </c>
      <c r="K10" s="5" t="s">
        <v>18</v>
      </c>
      <c r="L10" s="6">
        <v>46091.0</v>
      </c>
      <c r="M10" s="7"/>
      <c r="N10" s="7"/>
      <c r="P10" s="9" t="s">
        <v>25</v>
      </c>
      <c r="Q10" s="10">
        <f>COUNTIF(EXPENSES[[#HEADERS],[#DATA],[Column 3]], "Travel")</f>
        <v>7</v>
      </c>
      <c r="R10" s="11">
        <f>SUMIF(EXPENSES[[#HEADERS],[#DATA],[Column 3]], "Travel", EXPENSES[[#HEADERS],[#DATA],[Column 2]])</f>
        <v>1031.6088</v>
      </c>
      <c r="S10" s="4">
        <v>490.5</v>
      </c>
      <c r="T10" s="11">
        <f t="shared" si="1"/>
        <v>-541.1088</v>
      </c>
    </row>
    <row r="11" ht="22.5" customHeight="1">
      <c r="A11" s="13"/>
      <c r="B11" s="11"/>
      <c r="C11" s="14"/>
      <c r="D11" s="15"/>
      <c r="E11" s="7"/>
      <c r="F11" s="7"/>
      <c r="G11" s="7"/>
      <c r="H11" s="8"/>
      <c r="I11" s="3" t="s">
        <v>57</v>
      </c>
      <c r="J11" s="4">
        <v>63.6576</v>
      </c>
      <c r="K11" s="5" t="s">
        <v>28</v>
      </c>
      <c r="L11" s="6">
        <v>46092.0</v>
      </c>
      <c r="M11" s="7"/>
      <c r="N11" s="7"/>
      <c r="P11" s="9" t="s">
        <v>42</v>
      </c>
      <c r="Q11" s="10">
        <f>COUNTIF(EXPENSES[[#HEADERS],[#DATA],[Column 3]], "Unsure: FIND OUT")</f>
        <v>0</v>
      </c>
      <c r="R11" s="11">
        <f>SUMIF(EXPENSES[[#HEADERS],[#DATA],[Column 3]], "Unsure: FIND OUT", EXPENSES[[#HEADERS],[#DATA],[Column 2]])</f>
        <v>0</v>
      </c>
      <c r="S11" s="4">
        <v>0.0</v>
      </c>
      <c r="T11" s="11">
        <f t="shared" si="1"/>
        <v>0</v>
      </c>
    </row>
    <row r="12" ht="22.5" customHeight="1">
      <c r="A12" s="13"/>
      <c r="B12" s="11"/>
      <c r="C12" s="14"/>
      <c r="D12" s="15"/>
      <c r="E12" s="7"/>
      <c r="F12" s="7"/>
      <c r="G12" s="7"/>
      <c r="H12" s="8"/>
      <c r="I12" s="3" t="s">
        <v>102</v>
      </c>
      <c r="J12" s="4">
        <v>16.9024</v>
      </c>
      <c r="K12" s="5" t="s">
        <v>18</v>
      </c>
      <c r="L12" s="6">
        <v>46092.0</v>
      </c>
      <c r="M12" s="7"/>
      <c r="N12" s="7"/>
      <c r="P12" s="9" t="s">
        <v>28</v>
      </c>
      <c r="Q12" s="10">
        <f>COUNTIF(EXPENSES[[#HEADERS],[#DATA],[Column 3]], "Zelle, CashApp, Etc.")</f>
        <v>1</v>
      </c>
      <c r="R12" s="11">
        <f>SUMIF(EXPENSES[[#HEADERS],[#DATA],[Column 3]], "Zelle, Cashapp, Etc.", EXPENSES[[#HEADERS],[#DATA],[Column 2]])</f>
        <v>63.6576</v>
      </c>
      <c r="S12" s="4">
        <v>245.0</v>
      </c>
      <c r="T12" s="11">
        <f t="shared" si="1"/>
        <v>181.3424</v>
      </c>
    </row>
    <row r="13" ht="22.5" customHeight="1">
      <c r="A13" s="13"/>
      <c r="B13" s="11"/>
      <c r="C13" s="14"/>
      <c r="D13" s="15"/>
      <c r="E13" s="7"/>
      <c r="F13" s="7"/>
      <c r="G13" s="7"/>
      <c r="H13" s="8"/>
      <c r="I13" s="3" t="s">
        <v>103</v>
      </c>
      <c r="J13" s="4">
        <v>315.248</v>
      </c>
      <c r="K13" s="5" t="s">
        <v>36</v>
      </c>
      <c r="L13" s="6">
        <v>46092.0</v>
      </c>
      <c r="M13" s="7"/>
      <c r="N13" s="7"/>
      <c r="P13" s="10"/>
      <c r="Q13" s="10"/>
      <c r="R13" s="11"/>
      <c r="S13" s="11"/>
      <c r="T13" s="11">
        <f t="shared" si="1"/>
        <v>0</v>
      </c>
    </row>
    <row r="14" ht="22.5" customHeight="1">
      <c r="A14" s="13"/>
      <c r="B14" s="11"/>
      <c r="C14" s="14"/>
      <c r="D14" s="15"/>
      <c r="E14" s="7"/>
      <c r="F14" s="7"/>
      <c r="G14" s="7"/>
      <c r="H14" s="16"/>
      <c r="I14" s="3" t="s">
        <v>104</v>
      </c>
      <c r="J14" s="4">
        <v>12.388</v>
      </c>
      <c r="K14" s="5" t="s">
        <v>18</v>
      </c>
      <c r="L14" s="6">
        <v>46095.0</v>
      </c>
      <c r="M14" s="7"/>
      <c r="N14" s="7"/>
      <c r="P14" s="10"/>
      <c r="Q14" s="10"/>
      <c r="R14" s="11"/>
      <c r="S14" s="11"/>
      <c r="T14" s="11">
        <f t="shared" si="1"/>
        <v>0</v>
      </c>
    </row>
    <row r="15" ht="22.5" customHeight="1">
      <c r="A15" s="13"/>
      <c r="B15" s="11"/>
      <c r="C15" s="14"/>
      <c r="D15" s="15"/>
      <c r="E15" s="7"/>
      <c r="F15" s="7"/>
      <c r="G15" s="7"/>
      <c r="H15" s="20"/>
      <c r="I15" s="3" t="s">
        <v>105</v>
      </c>
      <c r="J15" s="4">
        <v>268.7056</v>
      </c>
      <c r="K15" s="5" t="s">
        <v>36</v>
      </c>
      <c r="L15" s="6">
        <v>46096.0</v>
      </c>
      <c r="M15" s="7"/>
      <c r="N15" s="7"/>
      <c r="P15" s="10"/>
      <c r="Q15" s="10"/>
      <c r="R15" s="11"/>
      <c r="S15" s="11"/>
      <c r="T15" s="11">
        <f t="shared" si="1"/>
        <v>0</v>
      </c>
    </row>
    <row r="16" ht="22.5" customHeight="1">
      <c r="A16" s="17"/>
      <c r="B16" s="18">
        <f>SUM(INCOME[Amout Received])</f>
        <v>4579.3446</v>
      </c>
      <c r="C16" s="19"/>
      <c r="D16" s="18"/>
      <c r="E16" s="19"/>
      <c r="F16" s="19"/>
      <c r="G16" s="19"/>
      <c r="H16" s="20"/>
      <c r="I16" s="3" t="s">
        <v>94</v>
      </c>
      <c r="J16" s="4">
        <v>30.4</v>
      </c>
      <c r="K16" s="5" t="s">
        <v>33</v>
      </c>
      <c r="L16" s="6">
        <v>46097.0</v>
      </c>
      <c r="M16" s="7"/>
      <c r="N16" s="7"/>
      <c r="P16" s="10"/>
      <c r="Q16" s="10">
        <f>SUM(TOTAL_EXPENSE_TYPE[Total Transactions])</f>
        <v>34</v>
      </c>
      <c r="R16" s="11">
        <f>SUM(TOTAL_EXPENSE_TYPE[Total Spent])</f>
        <v>3033.6464</v>
      </c>
      <c r="S16" s="11">
        <f>SUM(TOTAL_EXPENSE_TYPE[Ideal Budget for the Month])</f>
        <v>2152.5</v>
      </c>
      <c r="T16" s="11">
        <f>SUM(TOTAL_EXPENSE_TYPE[Difference])</f>
        <v>-881.1464</v>
      </c>
    </row>
    <row r="17" ht="22.5" customHeight="1">
      <c r="A17" s="21"/>
      <c r="B17" s="22"/>
      <c r="C17" s="20"/>
      <c r="D17" s="22"/>
      <c r="E17" s="20"/>
      <c r="F17" s="20"/>
      <c r="G17" s="20"/>
      <c r="H17" s="20"/>
      <c r="I17" s="3" t="s">
        <v>106</v>
      </c>
      <c r="J17" s="4">
        <v>7.6</v>
      </c>
      <c r="K17" s="5" t="s">
        <v>26</v>
      </c>
      <c r="L17" s="6">
        <v>46098.0</v>
      </c>
      <c r="M17" s="7"/>
      <c r="N17" s="7"/>
    </row>
    <row r="18" ht="22.5" customHeight="1">
      <c r="A18" s="24" t="s">
        <v>47</v>
      </c>
      <c r="B18" s="22"/>
      <c r="C18" s="20"/>
      <c r="D18" s="22"/>
      <c r="E18" s="20"/>
      <c r="F18" s="20"/>
      <c r="G18" s="20"/>
      <c r="H18" s="20"/>
      <c r="I18" s="3" t="s">
        <v>107</v>
      </c>
      <c r="J18" s="4">
        <v>63.84</v>
      </c>
      <c r="K18" s="5" t="s">
        <v>36</v>
      </c>
      <c r="L18" s="6">
        <v>46099.0</v>
      </c>
      <c r="M18" s="7"/>
      <c r="N18" s="7"/>
    </row>
    <row r="19" ht="22.5" customHeight="1">
      <c r="A19" s="24">
        <f> INCOME[[#TOTALS],[Amout Received]]-EXPENSES[[#TOTALS],[Column 2]]</f>
        <v>1545.6982</v>
      </c>
      <c r="B19" s="22"/>
      <c r="C19" s="20"/>
      <c r="D19" s="22"/>
      <c r="E19" s="20"/>
      <c r="F19" s="20"/>
      <c r="G19" s="20"/>
      <c r="H19" s="20"/>
      <c r="I19" s="3" t="s">
        <v>108</v>
      </c>
      <c r="J19" s="4">
        <v>18.468</v>
      </c>
      <c r="K19" s="5" t="s">
        <v>18</v>
      </c>
      <c r="L19" s="6">
        <v>46099.0</v>
      </c>
      <c r="M19" s="7"/>
      <c r="N19" s="7"/>
    </row>
    <row r="20" ht="22.5" customHeight="1">
      <c r="A20" s="24"/>
      <c r="B20" s="22"/>
      <c r="C20" s="20"/>
      <c r="D20" s="22"/>
      <c r="E20" s="20"/>
      <c r="F20" s="20"/>
      <c r="G20" s="20"/>
      <c r="H20" s="20"/>
      <c r="I20" s="3" t="s">
        <v>109</v>
      </c>
      <c r="J20" s="4">
        <v>418.0</v>
      </c>
      <c r="K20" s="5" t="s">
        <v>36</v>
      </c>
      <c r="L20" s="6">
        <v>46100.0</v>
      </c>
      <c r="M20" s="7"/>
      <c r="N20" s="7"/>
    </row>
    <row r="21" ht="22.5" customHeight="1">
      <c r="A21" s="24"/>
      <c r="B21" s="22"/>
      <c r="C21" s="20"/>
      <c r="D21" s="22"/>
      <c r="E21" s="20"/>
      <c r="F21" s="20"/>
      <c r="G21" s="20"/>
      <c r="H21" s="20"/>
      <c r="I21" s="3" t="s">
        <v>110</v>
      </c>
      <c r="J21" s="4">
        <v>35.9176</v>
      </c>
      <c r="K21" s="5" t="s">
        <v>26</v>
      </c>
      <c r="L21" s="6">
        <v>46100.0</v>
      </c>
      <c r="M21" s="7"/>
      <c r="N21" s="7"/>
    </row>
    <row r="22" ht="22.5" customHeight="1">
      <c r="A22" s="24"/>
      <c r="B22" s="22"/>
      <c r="C22" s="20"/>
      <c r="D22" s="22"/>
      <c r="E22" s="20"/>
      <c r="F22" s="20"/>
      <c r="G22" s="20"/>
      <c r="H22" s="20"/>
      <c r="I22" s="3" t="s">
        <v>111</v>
      </c>
      <c r="J22" s="4">
        <v>12.5552</v>
      </c>
      <c r="K22" s="5" t="s">
        <v>36</v>
      </c>
      <c r="L22" s="6">
        <v>46100.0</v>
      </c>
      <c r="M22" s="7"/>
      <c r="N22" s="7"/>
    </row>
    <row r="23" ht="22.5" customHeight="1">
      <c r="A23" s="25" t="s">
        <v>52</v>
      </c>
      <c r="B23" s="25" t="s">
        <v>2</v>
      </c>
      <c r="C23" s="26" t="s">
        <v>53</v>
      </c>
      <c r="D23" s="27"/>
      <c r="E23" s="27"/>
      <c r="F23" s="27"/>
      <c r="G23" s="27"/>
      <c r="H23" s="20"/>
      <c r="I23" s="3" t="s">
        <v>112</v>
      </c>
      <c r="J23" s="4">
        <v>87.172</v>
      </c>
      <c r="K23" s="5" t="s">
        <v>36</v>
      </c>
      <c r="L23" s="6">
        <v>46100.0</v>
      </c>
      <c r="M23" s="7"/>
      <c r="N23" s="7"/>
    </row>
    <row r="24" ht="22.5" customHeight="1">
      <c r="A24" s="28" t="s">
        <v>56</v>
      </c>
      <c r="B24" s="29"/>
      <c r="C24" s="30"/>
      <c r="D24" s="27"/>
      <c r="E24" s="27"/>
      <c r="F24" s="27"/>
      <c r="G24" s="27"/>
      <c r="H24" s="20"/>
      <c r="I24" s="3" t="s">
        <v>113</v>
      </c>
      <c r="J24" s="4">
        <v>31.3728</v>
      </c>
      <c r="K24" s="5" t="s">
        <v>36</v>
      </c>
      <c r="L24" s="6">
        <v>46101.0</v>
      </c>
      <c r="M24" s="7"/>
      <c r="N24" s="7"/>
    </row>
    <row r="25" ht="22.5" customHeight="1">
      <c r="A25" s="35"/>
      <c r="B25" s="32"/>
      <c r="C25" s="33">
        <v>100.0</v>
      </c>
      <c r="D25" s="27"/>
      <c r="E25" s="27"/>
      <c r="F25" s="27"/>
      <c r="G25" s="27"/>
      <c r="H25" s="20"/>
      <c r="I25" s="3" t="s">
        <v>114</v>
      </c>
      <c r="J25" s="4">
        <v>41.0704</v>
      </c>
      <c r="K25" s="5" t="s">
        <v>25</v>
      </c>
      <c r="L25" s="6">
        <v>46102.0</v>
      </c>
      <c r="M25" s="7"/>
      <c r="N25" s="7"/>
    </row>
    <row r="26" ht="22.5" customHeight="1">
      <c r="A26" s="28"/>
      <c r="B26" s="34"/>
      <c r="C26" s="30"/>
      <c r="D26" s="27"/>
      <c r="E26" s="27"/>
      <c r="F26" s="27"/>
      <c r="G26" s="27"/>
      <c r="H26" s="20"/>
      <c r="I26" s="3" t="s">
        <v>115</v>
      </c>
      <c r="J26" s="4">
        <v>92.72</v>
      </c>
      <c r="K26" s="5" t="s">
        <v>25</v>
      </c>
      <c r="L26" s="6">
        <v>46102.0</v>
      </c>
      <c r="M26" s="7"/>
      <c r="N26" s="7"/>
    </row>
    <row r="27" ht="22.5" customHeight="1">
      <c r="A27" s="35"/>
      <c r="B27" s="36"/>
      <c r="C27" s="33"/>
      <c r="D27" s="27"/>
      <c r="E27" s="27"/>
      <c r="F27" s="27"/>
      <c r="G27" s="27"/>
      <c r="H27" s="20"/>
      <c r="I27" s="3" t="s">
        <v>116</v>
      </c>
      <c r="J27" s="4">
        <v>95.532</v>
      </c>
      <c r="K27" s="5" t="s">
        <v>25</v>
      </c>
      <c r="L27" s="6">
        <v>46103.0</v>
      </c>
      <c r="M27" s="7"/>
      <c r="N27" s="7"/>
    </row>
    <row r="28" ht="22.5" customHeight="1">
      <c r="A28" s="28" t="s">
        <v>62</v>
      </c>
      <c r="B28" s="37"/>
      <c r="C28" s="30">
        <v>100.0</v>
      </c>
      <c r="D28" s="27"/>
      <c r="E28" s="27"/>
      <c r="F28" s="27"/>
      <c r="G28" s="27"/>
      <c r="H28" s="20"/>
      <c r="I28" s="3" t="s">
        <v>117</v>
      </c>
      <c r="J28" s="4">
        <v>314.4424</v>
      </c>
      <c r="K28" s="5" t="s">
        <v>25</v>
      </c>
      <c r="L28" s="6"/>
      <c r="M28" s="7"/>
      <c r="N28" s="7"/>
    </row>
    <row r="29" ht="22.5" customHeight="1">
      <c r="A29" s="35" t="s">
        <v>118</v>
      </c>
      <c r="B29" s="38"/>
      <c r="C29" s="33">
        <v>100.0</v>
      </c>
      <c r="D29" s="27"/>
      <c r="E29" s="27"/>
      <c r="F29" s="27"/>
      <c r="G29" s="27"/>
      <c r="H29" s="20"/>
      <c r="I29" s="3" t="s">
        <v>82</v>
      </c>
      <c r="J29" s="4">
        <v>19.7448</v>
      </c>
      <c r="K29" s="5" t="s">
        <v>38</v>
      </c>
      <c r="L29" s="6">
        <v>46108.0</v>
      </c>
      <c r="M29" s="7"/>
      <c r="N29" s="7"/>
    </row>
    <row r="30" ht="22.5" customHeight="1">
      <c r="A30" s="28" t="s">
        <v>119</v>
      </c>
      <c r="B30" s="37"/>
      <c r="C30" s="33">
        <v>100.0</v>
      </c>
      <c r="D30" s="27"/>
      <c r="E30" s="27"/>
      <c r="F30" s="27"/>
      <c r="G30" s="27"/>
      <c r="H30" s="20"/>
      <c r="I30" s="3" t="s">
        <v>120</v>
      </c>
      <c r="J30" s="4">
        <v>147.44</v>
      </c>
      <c r="K30" s="5" t="s">
        <v>19</v>
      </c>
      <c r="L30" s="6">
        <v>46108.0</v>
      </c>
      <c r="M30" s="7"/>
      <c r="N30" s="7"/>
    </row>
    <row r="31" ht="22.5" customHeight="1">
      <c r="A31" s="39"/>
      <c r="B31" s="38"/>
      <c r="C31" s="33"/>
      <c r="D31" s="27"/>
      <c r="E31" s="27"/>
      <c r="F31" s="27"/>
      <c r="G31" s="27"/>
      <c r="H31" s="20"/>
      <c r="I31" s="3" t="s">
        <v>121</v>
      </c>
      <c r="J31" s="4">
        <v>130.2944</v>
      </c>
      <c r="K31" s="5" t="s">
        <v>25</v>
      </c>
      <c r="L31" s="6">
        <v>46108.0</v>
      </c>
      <c r="M31" s="7"/>
      <c r="N31" s="7"/>
      <c r="O31" s="20"/>
    </row>
    <row r="32" ht="22.5" customHeight="1">
      <c r="A32" s="41"/>
      <c r="B32" s="37"/>
      <c r="C32" s="42"/>
      <c r="D32" s="22"/>
      <c r="E32" s="43"/>
      <c r="F32" s="20"/>
      <c r="G32" s="20"/>
      <c r="H32" s="20"/>
      <c r="I32" s="3" t="s">
        <v>122</v>
      </c>
      <c r="J32" s="4">
        <v>22.3896</v>
      </c>
      <c r="K32" s="5" t="s">
        <v>25</v>
      </c>
      <c r="L32" s="6">
        <v>46108.0</v>
      </c>
      <c r="M32" s="7"/>
      <c r="N32" s="7"/>
      <c r="O32" s="20"/>
    </row>
    <row r="33" ht="22.5" customHeight="1">
      <c r="A33" s="39"/>
      <c r="B33" s="38"/>
      <c r="C33" s="40"/>
      <c r="D33" s="22"/>
      <c r="E33" s="20"/>
      <c r="F33" s="20"/>
      <c r="G33" s="20"/>
      <c r="H33" s="20"/>
      <c r="I33" s="3" t="s">
        <v>94</v>
      </c>
      <c r="J33" s="4">
        <v>30.4</v>
      </c>
      <c r="K33" s="5" t="s">
        <v>33</v>
      </c>
      <c r="L33" s="6">
        <v>46111.0</v>
      </c>
      <c r="M33" s="7"/>
      <c r="N33" s="7"/>
      <c r="O33" s="20"/>
    </row>
    <row r="34" ht="22.5" customHeight="1">
      <c r="A34" s="41"/>
      <c r="B34" s="37"/>
      <c r="C34" s="42"/>
      <c r="D34" s="22"/>
      <c r="E34" s="20"/>
      <c r="F34" s="20"/>
      <c r="G34" s="20"/>
      <c r="H34" s="45"/>
      <c r="I34" s="3" t="s">
        <v>48</v>
      </c>
      <c r="J34" s="4">
        <v>12.7376</v>
      </c>
      <c r="K34" s="5" t="s">
        <v>18</v>
      </c>
      <c r="L34" s="6">
        <v>46111.0</v>
      </c>
      <c r="M34" s="7"/>
      <c r="N34" s="7"/>
      <c r="O34" s="45"/>
      <c r="P34" s="45"/>
      <c r="Q34" s="45"/>
      <c r="R34" s="45"/>
      <c r="S34" s="45"/>
      <c r="T34" s="45"/>
      <c r="U34" s="45"/>
      <c r="V34" s="45"/>
    </row>
    <row r="35" ht="22.5" customHeight="1">
      <c r="A35" s="39"/>
      <c r="B35" s="38"/>
      <c r="C35" s="40"/>
      <c r="D35" s="44"/>
      <c r="E35" s="45"/>
      <c r="F35" s="45"/>
      <c r="G35" s="45"/>
      <c r="H35" s="45"/>
      <c r="I35" s="3" t="s">
        <v>123</v>
      </c>
      <c r="J35" s="4">
        <v>18.5896</v>
      </c>
      <c r="K35" s="5" t="s">
        <v>18</v>
      </c>
      <c r="L35" s="6">
        <v>46111.0</v>
      </c>
      <c r="M35" s="7"/>
      <c r="N35" s="7"/>
      <c r="O35" s="45"/>
      <c r="P35" s="45"/>
      <c r="Q35" s="45"/>
      <c r="R35" s="45"/>
      <c r="S35" s="45"/>
      <c r="T35" s="45"/>
      <c r="U35" s="45"/>
      <c r="V35" s="45"/>
    </row>
    <row r="36" ht="22.5" customHeight="1">
      <c r="A36" s="41"/>
      <c r="B36" s="37"/>
      <c r="C36" s="42"/>
      <c r="D36" s="46" t="s">
        <v>68</v>
      </c>
      <c r="E36" s="46"/>
      <c r="F36" s="45"/>
      <c r="G36" s="45"/>
      <c r="H36" s="45"/>
      <c r="I36" s="3"/>
      <c r="J36" s="4"/>
      <c r="K36" s="51"/>
      <c r="L36" s="6"/>
      <c r="M36" s="7"/>
      <c r="N36" s="7"/>
      <c r="O36" s="45"/>
      <c r="P36" s="45"/>
      <c r="Q36" s="45"/>
      <c r="R36" s="45"/>
      <c r="S36" s="45"/>
      <c r="T36" s="45"/>
      <c r="U36" s="45"/>
      <c r="V36" s="45"/>
    </row>
    <row r="37" ht="22.5" customHeight="1">
      <c r="A37" s="47"/>
      <c r="B37" s="48"/>
      <c r="C37" s="49">
        <f>sum(CAN_I_AFFORD_IT?[[#HEADERS],[#DATA],[Cost]])</f>
        <v>400</v>
      </c>
      <c r="D37" s="50">
        <f>A19-CAN_I_AFFORD_IT?[[#TOTALS],[Cost]]</f>
        <v>1145.6982</v>
      </c>
      <c r="E37" s="45"/>
      <c r="F37" s="45"/>
      <c r="G37" s="45"/>
      <c r="H37" s="45"/>
      <c r="I37" s="3"/>
      <c r="J37" s="4"/>
      <c r="K37" s="51"/>
      <c r="L37" s="6"/>
      <c r="M37" s="7"/>
      <c r="N37" s="7"/>
      <c r="O37" s="45"/>
      <c r="P37" s="45"/>
      <c r="Q37" s="45"/>
      <c r="R37" s="45"/>
      <c r="S37" s="45"/>
      <c r="T37" s="45"/>
      <c r="U37" s="45"/>
      <c r="V37" s="45"/>
    </row>
    <row r="38" ht="22.5" customHeight="1">
      <c r="D38" s="44"/>
      <c r="E38" s="45"/>
      <c r="F38" s="45"/>
      <c r="G38" s="45"/>
      <c r="H38" s="45"/>
      <c r="I38" s="3"/>
      <c r="J38" s="4"/>
      <c r="K38" s="51"/>
      <c r="L38" s="6"/>
      <c r="M38" s="7"/>
      <c r="N38" s="7"/>
      <c r="O38" s="45"/>
      <c r="P38" s="45"/>
      <c r="Q38" s="45"/>
      <c r="R38" s="45"/>
      <c r="S38" s="45"/>
      <c r="T38" s="45"/>
      <c r="U38" s="45"/>
      <c r="V38" s="45"/>
    </row>
    <row r="39" ht="22.5" customHeight="1">
      <c r="D39" s="44"/>
      <c r="E39" s="45"/>
      <c r="F39" s="45"/>
      <c r="G39" s="45"/>
      <c r="H39" s="45"/>
      <c r="I39" s="3"/>
      <c r="J39" s="4"/>
      <c r="K39" s="51"/>
      <c r="L39" s="6"/>
      <c r="M39" s="7"/>
      <c r="N39" s="7"/>
      <c r="O39" s="45"/>
      <c r="P39" s="45"/>
      <c r="Q39" s="45"/>
      <c r="R39" s="45"/>
      <c r="S39" s="45"/>
      <c r="T39" s="45"/>
      <c r="U39" s="45"/>
      <c r="V39" s="45"/>
    </row>
    <row r="40" ht="22.5" customHeight="1">
      <c r="D40" s="44"/>
      <c r="E40" s="45"/>
      <c r="F40" s="45"/>
      <c r="G40" s="45"/>
      <c r="H40" s="45"/>
      <c r="I40" s="17"/>
      <c r="J40" s="18">
        <f>SUM(EXPENSES[Column 2])</f>
        <v>3033.6464</v>
      </c>
      <c r="K40" s="19"/>
      <c r="L40" s="18"/>
      <c r="M40" s="19"/>
      <c r="N40" s="19"/>
      <c r="O40" s="45"/>
      <c r="P40" s="45"/>
      <c r="Q40" s="45"/>
      <c r="R40" s="45"/>
      <c r="S40" s="45"/>
      <c r="T40" s="45"/>
      <c r="U40" s="45"/>
      <c r="V40" s="45"/>
    </row>
    <row r="41">
      <c r="D41" s="44"/>
      <c r="E41" s="45"/>
      <c r="F41" s="45"/>
      <c r="G41" s="45"/>
      <c r="H41" s="45"/>
      <c r="I41" s="21"/>
      <c r="J41" s="22"/>
      <c r="K41" s="20"/>
      <c r="L41" s="22"/>
      <c r="M41" s="20"/>
      <c r="N41" s="20"/>
      <c r="O41" s="45"/>
      <c r="P41" s="45"/>
      <c r="Q41" s="45"/>
      <c r="R41" s="45"/>
      <c r="S41" s="45"/>
      <c r="T41" s="45"/>
      <c r="U41" s="45"/>
      <c r="V41" s="45"/>
    </row>
    <row r="42">
      <c r="D42" s="44"/>
      <c r="E42" s="45"/>
      <c r="F42" s="45"/>
      <c r="G42" s="45"/>
      <c r="H42" s="45"/>
      <c r="I42" s="21"/>
      <c r="J42" s="22"/>
      <c r="K42" s="20"/>
      <c r="L42" s="22"/>
      <c r="M42" s="20"/>
      <c r="N42" s="20"/>
      <c r="O42" s="45"/>
      <c r="P42" s="45"/>
      <c r="Q42" s="45"/>
      <c r="R42" s="45"/>
      <c r="S42" s="45"/>
      <c r="T42" s="45"/>
      <c r="U42" s="45"/>
      <c r="V42" s="45"/>
    </row>
    <row r="43">
      <c r="D43" s="44"/>
      <c r="E43" s="45"/>
      <c r="F43" s="45"/>
      <c r="G43" s="45"/>
      <c r="H43" s="45"/>
      <c r="I43" s="21"/>
      <c r="J43" s="22"/>
      <c r="K43" s="20"/>
      <c r="L43" s="22"/>
      <c r="M43" s="20"/>
      <c r="N43" s="20"/>
      <c r="O43" s="45"/>
      <c r="P43" s="45"/>
      <c r="Q43" s="45"/>
      <c r="R43" s="45"/>
      <c r="S43" s="45"/>
      <c r="T43" s="45"/>
      <c r="U43" s="45"/>
      <c r="V43" s="45"/>
    </row>
    <row r="44">
      <c r="D44" s="44"/>
      <c r="E44" s="45"/>
      <c r="F44" s="45"/>
      <c r="G44" s="45"/>
      <c r="H44" s="45"/>
      <c r="I44" s="44"/>
      <c r="J44" s="44"/>
      <c r="K44" s="45"/>
      <c r="L44" s="44"/>
      <c r="M44" s="45"/>
      <c r="N44" s="45"/>
      <c r="O44" s="45"/>
      <c r="P44" s="45"/>
      <c r="Q44" s="45"/>
      <c r="R44" s="45"/>
      <c r="S44" s="45"/>
      <c r="T44" s="45"/>
      <c r="U44" s="45"/>
      <c r="V44" s="45"/>
    </row>
    <row r="45">
      <c r="D45" s="44"/>
      <c r="E45" s="45"/>
      <c r="F45" s="45"/>
      <c r="G45" s="45"/>
      <c r="H45" s="45"/>
      <c r="I45" s="44"/>
      <c r="J45" s="44"/>
      <c r="K45" s="45"/>
      <c r="L45" s="44"/>
      <c r="M45" s="45"/>
      <c r="N45" s="45"/>
      <c r="O45" s="45"/>
      <c r="P45" s="45"/>
      <c r="Q45" s="45"/>
      <c r="R45" s="45"/>
      <c r="S45" s="45"/>
      <c r="T45" s="45"/>
      <c r="U45" s="45"/>
      <c r="V45" s="45"/>
    </row>
    <row r="46">
      <c r="D46" s="44"/>
      <c r="E46" s="45"/>
      <c r="F46" s="45"/>
      <c r="G46" s="45"/>
      <c r="H46" s="45"/>
      <c r="I46" s="44"/>
      <c r="J46" s="44"/>
      <c r="K46" s="45"/>
      <c r="L46" s="44"/>
      <c r="M46" s="45"/>
      <c r="N46" s="45"/>
      <c r="O46" s="45"/>
      <c r="P46" s="45"/>
      <c r="Q46" s="45"/>
      <c r="R46" s="45"/>
      <c r="S46" s="45"/>
      <c r="T46" s="45"/>
      <c r="U46" s="45"/>
      <c r="V46" s="45"/>
    </row>
    <row r="47">
      <c r="D47" s="44"/>
      <c r="E47" s="45"/>
      <c r="F47" s="45"/>
      <c r="G47" s="45"/>
      <c r="H47" s="45"/>
      <c r="I47" s="44"/>
      <c r="J47" s="44"/>
      <c r="K47" s="45"/>
      <c r="L47" s="44"/>
      <c r="M47" s="45"/>
      <c r="N47" s="45"/>
      <c r="O47" s="45"/>
      <c r="P47" s="45"/>
      <c r="Q47" s="45"/>
      <c r="R47" s="45"/>
      <c r="S47" s="45"/>
      <c r="T47" s="45"/>
      <c r="U47" s="45"/>
      <c r="V47" s="45"/>
    </row>
    <row r="48">
      <c r="D48" s="44"/>
      <c r="E48" s="45"/>
      <c r="F48" s="45"/>
      <c r="G48" s="45"/>
      <c r="H48" s="45"/>
      <c r="I48" s="44"/>
      <c r="J48" s="44"/>
      <c r="K48" s="45"/>
      <c r="L48" s="44"/>
      <c r="M48" s="45"/>
      <c r="N48" s="45"/>
      <c r="O48" s="45"/>
      <c r="P48" s="45"/>
      <c r="Q48" s="45"/>
      <c r="R48" s="45"/>
      <c r="S48" s="45"/>
      <c r="T48" s="45"/>
      <c r="U48" s="45"/>
      <c r="V48" s="45"/>
    </row>
    <row r="49">
      <c r="D49" s="44"/>
      <c r="E49" s="45"/>
      <c r="F49" s="45"/>
      <c r="G49" s="45"/>
      <c r="H49" s="45"/>
      <c r="I49" s="44"/>
      <c r="J49" s="44"/>
      <c r="K49" s="45"/>
      <c r="L49" s="44"/>
      <c r="M49" s="45"/>
      <c r="N49" s="45"/>
      <c r="O49" s="45"/>
      <c r="P49" s="45"/>
      <c r="Q49" s="45"/>
      <c r="R49" s="45"/>
      <c r="S49" s="45"/>
      <c r="T49" s="45"/>
      <c r="U49" s="45"/>
      <c r="V49" s="45"/>
    </row>
    <row r="50">
      <c r="D50" s="44"/>
      <c r="E50" s="45"/>
      <c r="F50" s="45"/>
      <c r="G50" s="45"/>
      <c r="H50" s="45"/>
      <c r="I50" s="44"/>
      <c r="J50" s="44"/>
      <c r="K50" s="45"/>
      <c r="L50" s="44"/>
      <c r="M50" s="45"/>
      <c r="N50" s="45"/>
      <c r="O50" s="45"/>
      <c r="P50" s="45"/>
      <c r="Q50" s="45"/>
      <c r="R50" s="45"/>
      <c r="S50" s="45"/>
      <c r="T50" s="45"/>
      <c r="U50" s="45"/>
      <c r="V50" s="45"/>
    </row>
    <row r="51">
      <c r="D51" s="44"/>
      <c r="E51" s="45"/>
      <c r="F51" s="45"/>
      <c r="G51" s="45"/>
      <c r="H51" s="45"/>
      <c r="I51" s="44"/>
      <c r="J51" s="44"/>
      <c r="K51" s="45"/>
      <c r="L51" s="44"/>
      <c r="M51" s="45"/>
      <c r="N51" s="45"/>
      <c r="O51" s="45"/>
      <c r="P51" s="45"/>
      <c r="Q51" s="45"/>
      <c r="R51" s="45"/>
      <c r="S51" s="45"/>
      <c r="T51" s="45"/>
      <c r="U51" s="45"/>
      <c r="V51" s="45"/>
    </row>
    <row r="52">
      <c r="D52" s="44"/>
      <c r="E52" s="45"/>
      <c r="F52" s="45"/>
      <c r="G52" s="45"/>
      <c r="H52" s="45"/>
      <c r="I52" s="44"/>
      <c r="J52" s="44"/>
      <c r="K52" s="45"/>
      <c r="L52" s="44"/>
      <c r="M52" s="45"/>
      <c r="N52" s="45"/>
      <c r="O52" s="45"/>
      <c r="P52" s="45"/>
      <c r="Q52" s="45"/>
      <c r="R52" s="45"/>
      <c r="S52" s="45"/>
      <c r="T52" s="45"/>
      <c r="U52" s="45"/>
      <c r="V52" s="45"/>
    </row>
    <row r="53">
      <c r="D53" s="44"/>
      <c r="E53" s="45"/>
      <c r="F53" s="45"/>
      <c r="G53" s="45"/>
      <c r="H53" s="45"/>
      <c r="I53" s="44"/>
      <c r="J53" s="44"/>
      <c r="K53" s="45"/>
      <c r="L53" s="44"/>
      <c r="M53" s="45"/>
      <c r="N53" s="45"/>
      <c r="O53" s="45"/>
      <c r="P53" s="45"/>
      <c r="Q53" s="45"/>
      <c r="R53" s="45"/>
      <c r="S53" s="45"/>
      <c r="T53" s="45"/>
      <c r="U53" s="45"/>
      <c r="V53" s="45"/>
    </row>
    <row r="54">
      <c r="D54" s="44"/>
      <c r="E54" s="45"/>
      <c r="F54" s="45"/>
      <c r="G54" s="45"/>
      <c r="H54" s="45"/>
      <c r="I54" s="44"/>
      <c r="J54" s="44"/>
      <c r="K54" s="45"/>
      <c r="L54" s="44"/>
      <c r="M54" s="45"/>
      <c r="N54" s="45"/>
      <c r="O54" s="45"/>
      <c r="P54" s="45"/>
      <c r="Q54" s="45"/>
      <c r="R54" s="45"/>
      <c r="S54" s="45"/>
      <c r="T54" s="45"/>
      <c r="U54" s="45"/>
      <c r="V54" s="45"/>
    </row>
    <row r="55">
      <c r="D55" s="44"/>
      <c r="E55" s="45"/>
      <c r="F55" s="45"/>
      <c r="G55" s="45"/>
      <c r="H55" s="45"/>
      <c r="I55" s="44"/>
      <c r="J55" s="44"/>
      <c r="K55" s="45"/>
      <c r="L55" s="44"/>
      <c r="M55" s="45"/>
      <c r="N55" s="45"/>
      <c r="O55" s="45"/>
      <c r="P55" s="45"/>
      <c r="Q55" s="45"/>
      <c r="R55" s="45"/>
      <c r="S55" s="45"/>
      <c r="T55" s="45"/>
      <c r="U55" s="45"/>
      <c r="V55" s="45"/>
    </row>
    <row r="56">
      <c r="D56" s="44"/>
      <c r="E56" s="45"/>
      <c r="F56" s="45"/>
      <c r="G56" s="45"/>
      <c r="H56" s="45"/>
      <c r="I56" s="44"/>
      <c r="J56" s="44"/>
      <c r="K56" s="45"/>
      <c r="L56" s="44"/>
      <c r="M56" s="45"/>
      <c r="N56" s="45"/>
      <c r="O56" s="45"/>
      <c r="P56" s="45"/>
      <c r="Q56" s="45"/>
      <c r="R56" s="45"/>
      <c r="S56" s="45"/>
      <c r="T56" s="45"/>
      <c r="U56" s="45"/>
      <c r="V56" s="45"/>
    </row>
    <row r="57">
      <c r="D57" s="44"/>
      <c r="E57" s="45"/>
      <c r="F57" s="45"/>
      <c r="G57" s="45"/>
      <c r="H57" s="45"/>
      <c r="I57" s="44"/>
      <c r="J57" s="44"/>
      <c r="K57" s="45"/>
      <c r="L57" s="44"/>
      <c r="M57" s="45"/>
      <c r="N57" s="45"/>
      <c r="O57" s="45"/>
      <c r="P57" s="45"/>
      <c r="Q57" s="45"/>
      <c r="R57" s="45"/>
      <c r="S57" s="45"/>
      <c r="T57" s="45"/>
      <c r="U57" s="45"/>
      <c r="V57" s="45"/>
    </row>
    <row r="58">
      <c r="D58" s="44"/>
      <c r="E58" s="45"/>
      <c r="F58" s="45"/>
      <c r="G58" s="45"/>
      <c r="H58" s="45"/>
      <c r="I58" s="44"/>
      <c r="J58" s="44"/>
      <c r="K58" s="45"/>
      <c r="L58" s="44"/>
      <c r="M58" s="45"/>
      <c r="N58" s="45"/>
      <c r="O58" s="45"/>
      <c r="P58" s="45"/>
      <c r="Q58" s="45"/>
      <c r="R58" s="45"/>
      <c r="S58" s="45"/>
      <c r="T58" s="45"/>
      <c r="U58" s="45"/>
      <c r="V58" s="45"/>
    </row>
    <row r="59">
      <c r="D59" s="44"/>
      <c r="E59" s="45"/>
      <c r="F59" s="45"/>
      <c r="G59" s="45"/>
      <c r="H59" s="45"/>
      <c r="I59" s="44"/>
      <c r="J59" s="44"/>
      <c r="K59" s="45"/>
      <c r="L59" s="44"/>
      <c r="M59" s="45"/>
      <c r="N59" s="45"/>
      <c r="O59" s="45"/>
      <c r="P59" s="45"/>
      <c r="Q59" s="45"/>
      <c r="R59" s="45"/>
      <c r="S59" s="45"/>
      <c r="T59" s="45"/>
      <c r="U59" s="45"/>
      <c r="V59" s="45"/>
    </row>
    <row r="60">
      <c r="D60" s="44"/>
      <c r="E60" s="45"/>
      <c r="F60" s="45"/>
      <c r="G60" s="45"/>
      <c r="H60" s="45"/>
      <c r="O60" s="45"/>
      <c r="P60" s="45"/>
      <c r="Q60" s="45"/>
      <c r="R60" s="45"/>
      <c r="S60" s="45"/>
      <c r="T60" s="45"/>
      <c r="U60" s="45"/>
      <c r="V60" s="45"/>
    </row>
  </sheetData>
  <conditionalFormatting sqref="T1:T15">
    <cfRule type="cellIs" dxfId="12" priority="1" operator="lessThan">
      <formula>0</formula>
    </cfRule>
  </conditionalFormatting>
  <conditionalFormatting sqref="T1:T15">
    <cfRule type="cellIs" dxfId="13" priority="2" operator="equal">
      <formula>0</formula>
    </cfRule>
  </conditionalFormatting>
  <conditionalFormatting sqref="T1:T15">
    <cfRule type="cellIs" dxfId="14" priority="3" operator="greaterThan">
      <formula>0</formula>
    </cfRule>
  </conditionalFormatting>
  <conditionalFormatting sqref="A19">
    <cfRule type="notContainsBlanks" dxfId="15" priority="4">
      <formula>LEN(TRIM(A19))&gt;0</formula>
    </cfRule>
  </conditionalFormatting>
  <dataValidations>
    <dataValidation type="custom" allowBlank="1" showDropDown="1" sqref="T2:T15">
      <formula1>AND(ISNUMBER(T2),(NOT(OR(NOT(ISERROR(DATEVALUE(T2))), AND(ISNUMBER(T2), LEFT(CELL("format", T2))="D")))))</formula1>
    </dataValidation>
    <dataValidation type="custom" allowBlank="1" showDropDown="1" sqref="B2:B15 C24:C36 J2:J39">
      <formula1>AND(ISNUMBER(B2),(NOT(OR(NOT(ISERROR(DATEVALUE(B2))), AND(ISNUMBER(B2), LEFT(CELL("format", B2))="D")))))</formula1>
    </dataValidation>
    <dataValidation type="custom" allowBlank="1" showDropDown="1" sqref="D2:D15 L2:L39">
      <formula1>OR(NOT(ISERROR(DATEVALUE(D2))), AND(ISNUMBER(D2), LEFT(CELL("format", D2))="D"))</formula1>
    </dataValidation>
    <dataValidation allowBlank="1" showDropDown="1" sqref="A2:A15 G2:G15 A24:A36 I2:I39 N2:N39"/>
    <dataValidation type="custom" allowBlank="1" showDropDown="1" sqref="R2:S15">
      <formula1>AND(ISNUMBER(R2),(NOT(OR(NOT(ISERROR(DATEVALUE(R2))), AND(ISNUMBER(R2), LEFT(CELL("format", R2))="D")))))</formula1>
    </dataValidation>
    <dataValidation type="list" allowBlank="1" sqref="C2:C15">
      <formula1>"FXW Job,Zelle, Cashapp, Etc.,Other"</formula1>
    </dataValidation>
    <dataValidation type="list" allowBlank="1" sqref="B24:B36">
      <formula1>"Food,Transportation,Debt,Personal,Investment/Smart Finances,Health,Travel,Giving,Zelle, Cashapp, Etc.,Subscriptions"</formula1>
    </dataValidation>
    <dataValidation type="list" allowBlank="1" sqref="K2:K39">
      <formula1>"Food,Transportation,Debt,Personal,Investment/Smart Finances,Health,Travel,Unsure: FIND OUT,Giving,Zelle, Cashapp, Etc.,Subscriptions"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5.63"/>
    <col customWidth="1" min="3" max="3" width="20.25"/>
    <col customWidth="1" min="4" max="4" width="19.5"/>
    <col customWidth="1" min="5" max="5" width="15.88"/>
    <col customWidth="1" min="6" max="6" width="18.13"/>
    <col customWidth="1" min="7" max="7" width="13.13"/>
    <col customWidth="1" min="8" max="8" width="13.88"/>
    <col customWidth="1" min="9" max="9" width="29.0"/>
    <col customWidth="1" min="10" max="10" width="19.38"/>
    <col customWidth="1" min="11" max="11" width="20.25"/>
    <col customWidth="1" min="12" max="12" width="15.0"/>
    <col customWidth="1" min="13" max="13" width="14.5"/>
    <col customWidth="1" min="14" max="14" width="21.0"/>
    <col customWidth="1" min="15" max="15" width="18.25"/>
    <col customWidth="1" min="16" max="16" width="23.0"/>
    <col customWidth="1" min="17" max="17" width="19.38"/>
    <col customWidth="1" min="18" max="18" width="17.25"/>
    <col customWidth="1" min="19" max="19" width="23.5"/>
    <col customWidth="1" min="20" max="20" width="16.5"/>
    <col customWidth="1" min="21" max="22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 ht="22.5" customHeight="1">
      <c r="A2" s="3" t="s">
        <v>124</v>
      </c>
      <c r="B2" s="4">
        <v>1126.576</v>
      </c>
      <c r="C2" s="5" t="s">
        <v>16</v>
      </c>
      <c r="D2" s="6">
        <v>46113.0</v>
      </c>
      <c r="E2" s="7"/>
      <c r="F2" s="7"/>
      <c r="G2" s="7"/>
      <c r="H2" s="8"/>
      <c r="I2" s="3" t="s">
        <v>48</v>
      </c>
      <c r="J2" s="4">
        <v>11.8864</v>
      </c>
      <c r="K2" s="5" t="s">
        <v>18</v>
      </c>
      <c r="L2" s="6">
        <v>46113.0</v>
      </c>
      <c r="M2" s="7"/>
      <c r="N2" s="7"/>
      <c r="P2" s="9" t="s">
        <v>19</v>
      </c>
      <c r="Q2" s="10">
        <f>COUNTIF(EXPENSES_3[[#HEADERS],[#DATA],[Column 3]], "Debt")</f>
        <v>0</v>
      </c>
      <c r="R2" s="11">
        <f>SUMIF(EXPENSES_3[[#HEADERS],[#DATA],[Column 3]], "Debt", EXPENSES_3[[#HEADERS],[#DATA],[Column 2]])</f>
        <v>0</v>
      </c>
      <c r="S2" s="4">
        <v>550.0</v>
      </c>
      <c r="T2" s="11">
        <f t="shared" ref="T2:T15" si="1">S2-R2</f>
        <v>550</v>
      </c>
    </row>
    <row r="3" ht="22.5" customHeight="1">
      <c r="A3" s="3" t="s">
        <v>125</v>
      </c>
      <c r="B3" s="4">
        <v>26.2614</v>
      </c>
      <c r="C3" s="5" t="s">
        <v>28</v>
      </c>
      <c r="D3" s="6">
        <v>46113.0</v>
      </c>
      <c r="E3" s="7"/>
      <c r="F3" s="7"/>
      <c r="G3" s="7"/>
      <c r="H3" s="8"/>
      <c r="I3" s="3" t="s">
        <v>126</v>
      </c>
      <c r="J3" s="4">
        <v>3.8912</v>
      </c>
      <c r="K3" s="5" t="s">
        <v>18</v>
      </c>
      <c r="L3" s="6">
        <v>46113.0</v>
      </c>
      <c r="M3" s="7"/>
      <c r="N3" s="7"/>
      <c r="P3" s="9" t="s">
        <v>18</v>
      </c>
      <c r="Q3" s="10">
        <f>COUNTIF(EXPENSES_3[[#HEADERS],[#DATA],[Column 3]], "Food")</f>
        <v>3</v>
      </c>
      <c r="R3" s="11">
        <f>SUMIF(EXPENSES_3[[#HEADERS],[#DATA],[Column 3]], "Food", EXPENSES_3[[#HEADERS],[#DATA],[Column 2]])</f>
        <v>100.0616</v>
      </c>
      <c r="S3" s="4">
        <v>500.0</v>
      </c>
      <c r="T3" s="11">
        <f t="shared" si="1"/>
        <v>399.9384</v>
      </c>
    </row>
    <row r="4" ht="22.5" customHeight="1">
      <c r="A4" s="3" t="s">
        <v>127</v>
      </c>
      <c r="B4" s="4">
        <v>11.591</v>
      </c>
      <c r="C4" s="5" t="s">
        <v>28</v>
      </c>
      <c r="D4" s="6">
        <v>46113.0</v>
      </c>
      <c r="E4" s="7"/>
      <c r="F4" s="7"/>
      <c r="G4" s="7"/>
      <c r="H4" s="8"/>
      <c r="I4" s="3" t="s">
        <v>128</v>
      </c>
      <c r="J4" s="4">
        <v>45.068</v>
      </c>
      <c r="K4" s="5" t="s">
        <v>28</v>
      </c>
      <c r="L4" s="6">
        <v>46114.0</v>
      </c>
      <c r="M4" s="7"/>
      <c r="N4" s="7"/>
      <c r="P4" s="9" t="s">
        <v>26</v>
      </c>
      <c r="Q4" s="10">
        <f>COUNTIF(EXPENSES_3[[#HEADERS],[#DATA],[Column 3]], "Giving")</f>
        <v>0</v>
      </c>
      <c r="R4" s="11">
        <f>SUMIF(EXPENSES_3[[#HEADERS],[#DATA],[Column 3]], "Giving", EXPENSES_3[[#HEADERS],[#DATA],[Column 2]])</f>
        <v>0</v>
      </c>
      <c r="S4" s="4">
        <v>10.0</v>
      </c>
      <c r="T4" s="11">
        <f t="shared" si="1"/>
        <v>10</v>
      </c>
    </row>
    <row r="5" ht="22.5" customHeight="1">
      <c r="A5" s="3"/>
      <c r="B5" s="4"/>
      <c r="C5" s="51"/>
      <c r="D5" s="6"/>
      <c r="E5" s="7"/>
      <c r="F5" s="7"/>
      <c r="G5" s="7"/>
      <c r="H5" s="8"/>
      <c r="I5" s="3" t="s">
        <v>129</v>
      </c>
      <c r="J5" s="4">
        <v>33.2576</v>
      </c>
      <c r="K5" s="5" t="s">
        <v>28</v>
      </c>
      <c r="L5" s="6">
        <v>46114.0</v>
      </c>
      <c r="M5" s="7"/>
      <c r="N5" s="7"/>
      <c r="P5" s="9" t="s">
        <v>30</v>
      </c>
      <c r="Q5" s="10">
        <f>COUNTIF(EXPENSES_3[[#HEADERS],[#DATA],[Column 3]], "Health")</f>
        <v>0</v>
      </c>
      <c r="R5" s="11">
        <f>SUMIF(EXPENSES_3[[#HEADERS],[#DATA],[Column 3]], "Health", EXPENSES_3[[#HEADERS],[#DATA],[Column 2]])</f>
        <v>0</v>
      </c>
      <c r="S5" s="4">
        <v>25.0</v>
      </c>
      <c r="T5" s="11">
        <f t="shared" si="1"/>
        <v>25</v>
      </c>
    </row>
    <row r="6" ht="22.5" customHeight="1">
      <c r="A6" s="3"/>
      <c r="B6" s="4"/>
      <c r="C6" s="51"/>
      <c r="D6" s="6"/>
      <c r="E6" s="7"/>
      <c r="F6" s="7"/>
      <c r="G6" s="7"/>
      <c r="H6" s="8"/>
      <c r="I6" s="3" t="s">
        <v>130</v>
      </c>
      <c r="J6" s="4">
        <v>44.308</v>
      </c>
      <c r="K6" s="5" t="s">
        <v>36</v>
      </c>
      <c r="L6" s="6">
        <v>46115.0</v>
      </c>
      <c r="M6" s="7"/>
      <c r="N6" s="7"/>
      <c r="P6" s="9" t="s">
        <v>34</v>
      </c>
      <c r="Q6" s="10">
        <f>COUNTIF(EXPENSES_3[[#HEADERS],[#DATA],[Column 3]], "Investment/Smart Finances")</f>
        <v>0</v>
      </c>
      <c r="R6" s="11">
        <f>SUMIF(EXPENSES_3[[#HEADERS],[#DATA],[Column 3]], "Investment/Smart Finances", EXPENSES_3[[#HEADERS],[#DATA],[Column 2]])</f>
        <v>0</v>
      </c>
      <c r="S6" s="11"/>
      <c r="T6" s="11">
        <f t="shared" si="1"/>
        <v>0</v>
      </c>
    </row>
    <row r="7" ht="22.5" customHeight="1">
      <c r="A7" s="3"/>
      <c r="B7" s="4"/>
      <c r="C7" s="51"/>
      <c r="D7" s="6"/>
      <c r="E7" s="7"/>
      <c r="F7" s="7"/>
      <c r="G7" s="7"/>
      <c r="H7" s="8"/>
      <c r="I7" s="3" t="s">
        <v>131</v>
      </c>
      <c r="J7" s="4">
        <v>84.284</v>
      </c>
      <c r="K7" s="5" t="s">
        <v>18</v>
      </c>
      <c r="L7" s="6">
        <v>46116.0</v>
      </c>
      <c r="M7" s="7"/>
      <c r="N7" s="7"/>
      <c r="P7" s="9" t="s">
        <v>36</v>
      </c>
      <c r="Q7" s="10">
        <f>COUNTIF(EXPENSES_3[[#HEADERS],[#DATA],[Column 3]], "Personal")</f>
        <v>1</v>
      </c>
      <c r="R7" s="11">
        <f>SUMIF(EXPENSES_3[[#HEADERS],[#DATA],[Column 3]], "Personal" , EXPENSES_3[[#HEADERS],[#DATA],[Column 2]])</f>
        <v>44.308</v>
      </c>
      <c r="S7" s="4">
        <v>200.0</v>
      </c>
      <c r="T7" s="11">
        <f t="shared" si="1"/>
        <v>155.692</v>
      </c>
    </row>
    <row r="8" ht="22.5" customHeight="1">
      <c r="A8" s="3"/>
      <c r="B8" s="4"/>
      <c r="C8" s="51"/>
      <c r="D8" s="6"/>
      <c r="E8" s="7"/>
      <c r="F8" s="7"/>
      <c r="G8" s="7"/>
      <c r="H8" s="8"/>
      <c r="I8" s="3"/>
      <c r="J8" s="4"/>
      <c r="K8" s="51"/>
      <c r="L8" s="6"/>
      <c r="M8" s="7"/>
      <c r="N8" s="7"/>
      <c r="P8" s="9" t="s">
        <v>38</v>
      </c>
      <c r="Q8" s="10">
        <f>COUNTIF(EXPENSES_3[[#HEADERS],[#DATA],[Column 3]], "Subscriptions")</f>
        <v>0</v>
      </c>
      <c r="R8" s="11">
        <f>SUMIF(EXPENSES_3[[#HEADERS],[#DATA],[Column 3]], "Subscriptions", EXPENSES_3[[#HEADERS],[#DATA],[Column 2]])</f>
        <v>0</v>
      </c>
      <c r="S8" s="4">
        <v>32.0</v>
      </c>
      <c r="T8" s="11">
        <f t="shared" si="1"/>
        <v>32</v>
      </c>
    </row>
    <row r="9" ht="22.5" customHeight="1">
      <c r="A9" s="13"/>
      <c r="B9" s="4"/>
      <c r="C9" s="14"/>
      <c r="D9" s="15"/>
      <c r="E9" s="7"/>
      <c r="F9" s="7"/>
      <c r="G9" s="7"/>
      <c r="H9" s="8"/>
      <c r="I9" s="3"/>
      <c r="J9" s="4"/>
      <c r="K9" s="51"/>
      <c r="L9" s="6"/>
      <c r="M9" s="7"/>
      <c r="N9" s="7"/>
      <c r="P9" s="9" t="s">
        <v>33</v>
      </c>
      <c r="Q9" s="10">
        <f>COUNTIF(EXPENSES_3[[#HEADERS],[#DATA],[Column 3]], "Transportation")</f>
        <v>0</v>
      </c>
      <c r="R9" s="11">
        <f>SUMIF(EXPENSES_3[[#HEADERS],[#DATA],[Column 3]], "Transportation", EXPENSES_3[[#HEADERS],[#DATA],[Column 2]])</f>
        <v>0</v>
      </c>
      <c r="S9" s="4">
        <v>100.0</v>
      </c>
      <c r="T9" s="11">
        <f t="shared" si="1"/>
        <v>100</v>
      </c>
    </row>
    <row r="10" ht="22.5" customHeight="1">
      <c r="A10" s="13"/>
      <c r="B10" s="11"/>
      <c r="C10" s="14"/>
      <c r="D10" s="15"/>
      <c r="E10" s="7"/>
      <c r="F10" s="7"/>
      <c r="G10" s="7"/>
      <c r="H10" s="8"/>
      <c r="I10" s="3"/>
      <c r="J10" s="4"/>
      <c r="K10" s="51"/>
      <c r="L10" s="6"/>
      <c r="M10" s="7"/>
      <c r="N10" s="7"/>
      <c r="P10" s="9" t="s">
        <v>25</v>
      </c>
      <c r="Q10" s="10">
        <f>COUNTIF(EXPENSES_3[[#HEADERS],[#DATA],[Column 3]], "Travel")</f>
        <v>0</v>
      </c>
      <c r="R10" s="11">
        <f>SUMIF(EXPENSES_3[[#HEADERS],[#DATA],[Column 3]], "Travel", EXPENSES_3[[#HEADERS],[#DATA],[Column 2]])</f>
        <v>0</v>
      </c>
      <c r="S10" s="4">
        <v>490.5</v>
      </c>
      <c r="T10" s="11">
        <f t="shared" si="1"/>
        <v>490.5</v>
      </c>
    </row>
    <row r="11" ht="22.5" customHeight="1">
      <c r="A11" s="13"/>
      <c r="B11" s="11"/>
      <c r="C11" s="14"/>
      <c r="D11" s="15"/>
      <c r="E11" s="7"/>
      <c r="F11" s="7"/>
      <c r="G11" s="7"/>
      <c r="H11" s="8"/>
      <c r="I11" s="3"/>
      <c r="J11" s="4"/>
      <c r="K11" s="51"/>
      <c r="L11" s="6"/>
      <c r="M11" s="7"/>
      <c r="N11" s="7"/>
      <c r="P11" s="9" t="s">
        <v>42</v>
      </c>
      <c r="Q11" s="10">
        <f>COUNTIF(EXPENSES_3[[#HEADERS],[#DATA],[Column 3]], "Unsure: FIND OUT")</f>
        <v>0</v>
      </c>
      <c r="R11" s="11">
        <f>SUMIF(EXPENSES_3[[#HEADERS],[#DATA],[Column 3]], "Unsure: FIND OUT", EXPENSES_3[[#HEADERS],[#DATA],[Column 2]])</f>
        <v>0</v>
      </c>
      <c r="S11" s="4">
        <v>0.0</v>
      </c>
      <c r="T11" s="11">
        <f t="shared" si="1"/>
        <v>0</v>
      </c>
    </row>
    <row r="12" ht="22.5" customHeight="1">
      <c r="A12" s="13"/>
      <c r="B12" s="11"/>
      <c r="C12" s="14"/>
      <c r="D12" s="15"/>
      <c r="E12" s="7"/>
      <c r="F12" s="7"/>
      <c r="G12" s="7"/>
      <c r="H12" s="8"/>
      <c r="I12" s="3"/>
      <c r="J12" s="4"/>
      <c r="K12" s="51"/>
      <c r="L12" s="6"/>
      <c r="M12" s="7"/>
      <c r="N12" s="7"/>
      <c r="P12" s="9" t="s">
        <v>28</v>
      </c>
      <c r="Q12" s="10">
        <f>COUNTIF(EXPENSES_3[[#HEADERS],[#DATA],[Column 3]], "Zelle, CashApp, Etc.")</f>
        <v>2</v>
      </c>
      <c r="R12" s="11">
        <f>SUMIF(EXPENSES_3[[#HEADERS],[#DATA],[Column 3]], "Zelle, Cashapp, Etc.", EXPENSES_3[[#HEADERS],[#DATA],[Column 2]])</f>
        <v>78.3256</v>
      </c>
      <c r="S12" s="4">
        <v>245.0</v>
      </c>
      <c r="T12" s="11">
        <f t="shared" si="1"/>
        <v>166.6744</v>
      </c>
    </row>
    <row r="13" ht="22.5" customHeight="1">
      <c r="A13" s="13"/>
      <c r="B13" s="11"/>
      <c r="C13" s="14"/>
      <c r="D13" s="15"/>
      <c r="E13" s="7"/>
      <c r="F13" s="7"/>
      <c r="G13" s="7"/>
      <c r="H13" s="8"/>
      <c r="I13" s="3"/>
      <c r="J13" s="4"/>
      <c r="K13" s="51"/>
      <c r="L13" s="6"/>
      <c r="M13" s="7"/>
      <c r="N13" s="7"/>
      <c r="P13" s="10"/>
      <c r="Q13" s="10"/>
      <c r="R13" s="11"/>
      <c r="S13" s="11"/>
      <c r="T13" s="11">
        <f t="shared" si="1"/>
        <v>0</v>
      </c>
    </row>
    <row r="14" ht="22.5" customHeight="1">
      <c r="A14" s="13"/>
      <c r="B14" s="11"/>
      <c r="C14" s="14"/>
      <c r="D14" s="15"/>
      <c r="E14" s="7"/>
      <c r="F14" s="7"/>
      <c r="G14" s="7"/>
      <c r="H14" s="16"/>
      <c r="I14" s="3"/>
      <c r="J14" s="4"/>
      <c r="K14" s="51"/>
      <c r="L14" s="6"/>
      <c r="M14" s="7"/>
      <c r="N14" s="7"/>
      <c r="P14" s="10"/>
      <c r="Q14" s="10"/>
      <c r="R14" s="11"/>
      <c r="S14" s="11"/>
      <c r="T14" s="11">
        <f t="shared" si="1"/>
        <v>0</v>
      </c>
    </row>
    <row r="15" ht="22.5" customHeight="1">
      <c r="A15" s="13"/>
      <c r="B15" s="11"/>
      <c r="C15" s="14"/>
      <c r="D15" s="15"/>
      <c r="E15" s="7"/>
      <c r="F15" s="7"/>
      <c r="G15" s="7"/>
      <c r="H15" s="20"/>
      <c r="I15" s="3"/>
      <c r="J15" s="4"/>
      <c r="K15" s="51"/>
      <c r="L15" s="6"/>
      <c r="M15" s="7"/>
      <c r="N15" s="7"/>
      <c r="P15" s="10"/>
      <c r="Q15" s="10"/>
      <c r="R15" s="11"/>
      <c r="S15" s="11"/>
      <c r="T15" s="11">
        <f t="shared" si="1"/>
        <v>0</v>
      </c>
    </row>
    <row r="16" ht="22.5" customHeight="1">
      <c r="A16" s="17"/>
      <c r="B16" s="18">
        <f>SUM(INCOME_3[Amout Received])</f>
        <v>1164.4284</v>
      </c>
      <c r="C16" s="19"/>
      <c r="D16" s="18"/>
      <c r="E16" s="19"/>
      <c r="F16" s="19"/>
      <c r="G16" s="19"/>
      <c r="H16" s="20"/>
      <c r="I16" s="3"/>
      <c r="J16" s="4"/>
      <c r="K16" s="51"/>
      <c r="L16" s="6"/>
      <c r="M16" s="7"/>
      <c r="N16" s="7"/>
      <c r="P16" s="10"/>
      <c r="Q16" s="10">
        <f>SUM(TOTAL_EXPENSE_TYPE_3[Total Transactions])</f>
        <v>6</v>
      </c>
      <c r="R16" s="11">
        <f>SUM(TOTAL_EXPENSE_TYPE_3[Total Spent])</f>
        <v>222.6952</v>
      </c>
      <c r="S16" s="11">
        <f>SUM(TOTAL_EXPENSE_TYPE_3[Ideal Budget for the Month])</f>
        <v>2152.5</v>
      </c>
      <c r="T16" s="11">
        <f>SUM(TOTAL_EXPENSE_TYPE_3[Difference])</f>
        <v>1929.8048</v>
      </c>
    </row>
    <row r="17" ht="22.5" customHeight="1">
      <c r="A17" s="21"/>
      <c r="B17" s="22"/>
      <c r="C17" s="20"/>
      <c r="D17" s="22"/>
      <c r="E17" s="20"/>
      <c r="F17" s="20"/>
      <c r="G17" s="20"/>
      <c r="H17" s="20"/>
      <c r="I17" s="3"/>
      <c r="J17" s="4"/>
      <c r="K17" s="51"/>
      <c r="L17" s="6"/>
      <c r="M17" s="7"/>
      <c r="N17" s="7"/>
    </row>
    <row r="18" ht="22.5" customHeight="1">
      <c r="A18" s="24" t="s">
        <v>47</v>
      </c>
      <c r="B18" s="22"/>
      <c r="C18" s="20"/>
      <c r="D18" s="22"/>
      <c r="E18" s="20"/>
      <c r="F18" s="20"/>
      <c r="G18" s="20"/>
      <c r="H18" s="20"/>
      <c r="I18" s="3"/>
      <c r="J18" s="4"/>
      <c r="K18" s="51"/>
      <c r="L18" s="6"/>
      <c r="M18" s="7"/>
      <c r="N18" s="7"/>
    </row>
    <row r="19" ht="22.5" customHeight="1">
      <c r="A19" s="24">
        <f> INCOME_3[[#TOTALS],[Amout Received]]-EXPENSES_3[[#TOTALS],[Column 2]]</f>
        <v>941.7332</v>
      </c>
      <c r="B19" s="22"/>
      <c r="C19" s="20"/>
      <c r="D19" s="22"/>
      <c r="E19" s="20"/>
      <c r="F19" s="20"/>
      <c r="G19" s="20"/>
      <c r="H19" s="20"/>
      <c r="I19" s="3"/>
      <c r="J19" s="4"/>
      <c r="K19" s="51"/>
      <c r="L19" s="6"/>
      <c r="M19" s="7"/>
      <c r="N19" s="7"/>
    </row>
    <row r="20" ht="22.5" customHeight="1">
      <c r="A20" s="24"/>
      <c r="B20" s="22"/>
      <c r="C20" s="20"/>
      <c r="D20" s="22"/>
      <c r="E20" s="20"/>
      <c r="F20" s="20"/>
      <c r="G20" s="20"/>
      <c r="H20" s="20"/>
      <c r="I20" s="3"/>
      <c r="J20" s="4"/>
      <c r="K20" s="51"/>
      <c r="L20" s="6"/>
      <c r="M20" s="7"/>
      <c r="N20" s="7"/>
    </row>
    <row r="21" ht="22.5" customHeight="1">
      <c r="A21" s="24"/>
      <c r="B21" s="22"/>
      <c r="C21" s="20"/>
      <c r="D21" s="22"/>
      <c r="E21" s="20"/>
      <c r="F21" s="20"/>
      <c r="G21" s="20"/>
      <c r="H21" s="20"/>
      <c r="I21" s="3"/>
      <c r="J21" s="4"/>
      <c r="K21" s="51"/>
      <c r="L21" s="6"/>
      <c r="M21" s="7"/>
      <c r="N21" s="7"/>
    </row>
    <row r="22" ht="22.5" customHeight="1">
      <c r="A22" s="24"/>
      <c r="B22" s="22"/>
      <c r="C22" s="20"/>
      <c r="D22" s="22"/>
      <c r="E22" s="20"/>
      <c r="F22" s="20"/>
      <c r="G22" s="20"/>
      <c r="H22" s="20"/>
      <c r="I22" s="3"/>
      <c r="J22" s="4"/>
      <c r="K22" s="51"/>
      <c r="L22" s="6"/>
      <c r="M22" s="7"/>
      <c r="N22" s="7"/>
    </row>
    <row r="23" ht="22.5" customHeight="1">
      <c r="A23" s="25" t="s">
        <v>52</v>
      </c>
      <c r="B23" s="25" t="s">
        <v>2</v>
      </c>
      <c r="C23" s="26" t="s">
        <v>53</v>
      </c>
      <c r="D23" s="27"/>
      <c r="E23" s="27"/>
      <c r="F23" s="27"/>
      <c r="G23" s="27"/>
      <c r="H23" s="20"/>
      <c r="I23" s="3"/>
      <c r="J23" s="4"/>
      <c r="K23" s="51"/>
      <c r="L23" s="6"/>
      <c r="M23" s="7"/>
      <c r="N23" s="7"/>
    </row>
    <row r="24" ht="22.5" customHeight="1">
      <c r="A24" s="28" t="s">
        <v>56</v>
      </c>
      <c r="B24" s="29"/>
      <c r="C24" s="30">
        <v>200.0</v>
      </c>
      <c r="D24" s="27"/>
      <c r="E24" s="27"/>
      <c r="F24" s="27"/>
      <c r="G24" s="27"/>
      <c r="H24" s="20"/>
      <c r="I24" s="3"/>
      <c r="J24" s="4"/>
      <c r="K24" s="51"/>
      <c r="L24" s="6"/>
      <c r="M24" s="7"/>
      <c r="N24" s="7"/>
    </row>
    <row r="25" ht="22.5" customHeight="1">
      <c r="A25" s="35"/>
      <c r="B25" s="32"/>
      <c r="C25" s="33"/>
      <c r="D25" s="27"/>
      <c r="E25" s="27"/>
      <c r="F25" s="27"/>
      <c r="G25" s="27"/>
      <c r="H25" s="20"/>
      <c r="I25" s="3"/>
      <c r="J25" s="4"/>
      <c r="K25" s="51"/>
      <c r="L25" s="6"/>
      <c r="M25" s="7"/>
      <c r="N25" s="7"/>
    </row>
    <row r="26" ht="22.5" customHeight="1">
      <c r="A26" s="28"/>
      <c r="B26" s="34"/>
      <c r="C26" s="30"/>
      <c r="D26" s="27"/>
      <c r="E26" s="27"/>
      <c r="F26" s="27"/>
      <c r="G26" s="27"/>
      <c r="H26" s="20"/>
      <c r="I26" s="3"/>
      <c r="J26" s="4"/>
      <c r="K26" s="51"/>
      <c r="L26" s="6"/>
      <c r="M26" s="7"/>
      <c r="N26" s="7"/>
    </row>
    <row r="27" ht="22.5" customHeight="1">
      <c r="A27" s="35"/>
      <c r="B27" s="36"/>
      <c r="C27" s="33"/>
      <c r="D27" s="27"/>
      <c r="E27" s="27"/>
      <c r="F27" s="27"/>
      <c r="G27" s="27"/>
      <c r="H27" s="20"/>
      <c r="I27" s="3"/>
      <c r="J27" s="4"/>
      <c r="K27" s="51"/>
      <c r="L27" s="6"/>
      <c r="M27" s="7"/>
      <c r="N27" s="7"/>
    </row>
    <row r="28" ht="22.5" customHeight="1">
      <c r="A28" s="28"/>
      <c r="B28" s="37"/>
      <c r="C28" s="30"/>
      <c r="D28" s="27"/>
      <c r="E28" s="27"/>
      <c r="F28" s="27"/>
      <c r="G28" s="27"/>
      <c r="H28" s="20"/>
      <c r="I28" s="3"/>
      <c r="J28" s="4"/>
      <c r="K28" s="51"/>
      <c r="L28" s="6"/>
      <c r="M28" s="7"/>
      <c r="N28" s="7"/>
    </row>
    <row r="29" ht="22.5" customHeight="1">
      <c r="A29" s="35"/>
      <c r="B29" s="38"/>
      <c r="C29" s="33"/>
      <c r="D29" s="27"/>
      <c r="E29" s="27"/>
      <c r="F29" s="27"/>
      <c r="G29" s="27"/>
      <c r="H29" s="20"/>
      <c r="I29" s="3"/>
      <c r="J29" s="4"/>
      <c r="K29" s="51"/>
      <c r="L29" s="6"/>
      <c r="M29" s="7"/>
      <c r="N29" s="7"/>
    </row>
    <row r="30" ht="22.5" customHeight="1">
      <c r="A30" s="28"/>
      <c r="B30" s="37"/>
      <c r="C30" s="33"/>
      <c r="D30" s="27"/>
      <c r="E30" s="27"/>
      <c r="F30" s="27"/>
      <c r="G30" s="27"/>
      <c r="H30" s="20"/>
      <c r="I30" s="3"/>
      <c r="J30" s="4"/>
      <c r="K30" s="51"/>
      <c r="L30" s="6"/>
      <c r="M30" s="7"/>
      <c r="N30" s="7"/>
    </row>
    <row r="31" ht="22.5" customHeight="1">
      <c r="A31" s="39"/>
      <c r="B31" s="38"/>
      <c r="C31" s="33"/>
      <c r="D31" s="27"/>
      <c r="E31" s="27"/>
      <c r="F31" s="27"/>
      <c r="G31" s="27"/>
      <c r="H31" s="20"/>
      <c r="I31" s="3"/>
      <c r="J31" s="4"/>
      <c r="K31" s="51"/>
      <c r="L31" s="6"/>
      <c r="M31" s="7"/>
      <c r="N31" s="7"/>
      <c r="O31" s="20"/>
    </row>
    <row r="32" ht="22.5" customHeight="1">
      <c r="A32" s="41"/>
      <c r="B32" s="37"/>
      <c r="C32" s="42"/>
      <c r="D32" s="22"/>
      <c r="E32" s="43"/>
      <c r="F32" s="20"/>
      <c r="G32" s="20"/>
      <c r="H32" s="20"/>
      <c r="I32" s="3"/>
      <c r="J32" s="4"/>
      <c r="K32" s="51"/>
      <c r="L32" s="6"/>
      <c r="M32" s="7"/>
      <c r="N32" s="7"/>
      <c r="O32" s="20"/>
    </row>
    <row r="33" ht="22.5" customHeight="1">
      <c r="A33" s="39"/>
      <c r="B33" s="38"/>
      <c r="C33" s="40"/>
      <c r="D33" s="22"/>
      <c r="E33" s="20"/>
      <c r="F33" s="20"/>
      <c r="G33" s="20"/>
      <c r="H33" s="20"/>
      <c r="I33" s="3"/>
      <c r="J33" s="4"/>
      <c r="K33" s="51"/>
      <c r="L33" s="6"/>
      <c r="M33" s="7"/>
      <c r="N33" s="7"/>
      <c r="O33" s="20"/>
    </row>
    <row r="34" ht="22.5" customHeight="1">
      <c r="A34" s="41"/>
      <c r="B34" s="37"/>
      <c r="C34" s="42"/>
      <c r="D34" s="22"/>
      <c r="E34" s="20"/>
      <c r="F34" s="20"/>
      <c r="G34" s="20"/>
      <c r="H34" s="45"/>
      <c r="I34" s="3"/>
      <c r="J34" s="4"/>
      <c r="K34" s="51"/>
      <c r="L34" s="6"/>
      <c r="M34" s="7"/>
      <c r="N34" s="7"/>
      <c r="O34" s="45"/>
      <c r="P34" s="45"/>
      <c r="Q34" s="45"/>
      <c r="R34" s="45"/>
      <c r="S34" s="45"/>
      <c r="T34" s="45"/>
      <c r="U34" s="45"/>
      <c r="V34" s="45"/>
    </row>
    <row r="35" ht="22.5" customHeight="1">
      <c r="A35" s="39"/>
      <c r="B35" s="38"/>
      <c r="C35" s="40"/>
      <c r="D35" s="44"/>
      <c r="E35" s="45"/>
      <c r="F35" s="45"/>
      <c r="G35" s="45"/>
      <c r="H35" s="45"/>
      <c r="I35" s="3"/>
      <c r="J35" s="4"/>
      <c r="K35" s="51"/>
      <c r="L35" s="6"/>
      <c r="M35" s="7"/>
      <c r="N35" s="7"/>
      <c r="O35" s="45"/>
      <c r="P35" s="45"/>
      <c r="Q35" s="45"/>
      <c r="R35" s="45"/>
      <c r="S35" s="45"/>
      <c r="T35" s="45"/>
      <c r="U35" s="45"/>
      <c r="V35" s="45"/>
    </row>
    <row r="36" ht="22.5" customHeight="1">
      <c r="A36" s="41"/>
      <c r="B36" s="37"/>
      <c r="C36" s="42"/>
      <c r="D36" s="46" t="s">
        <v>68</v>
      </c>
      <c r="E36" s="46"/>
      <c r="F36" s="45"/>
      <c r="G36" s="45"/>
      <c r="H36" s="45"/>
      <c r="I36" s="3"/>
      <c r="J36" s="4"/>
      <c r="K36" s="51"/>
      <c r="L36" s="6"/>
      <c r="M36" s="7"/>
      <c r="N36" s="7"/>
      <c r="O36" s="45"/>
      <c r="P36" s="45"/>
      <c r="Q36" s="45"/>
      <c r="R36" s="45"/>
      <c r="S36" s="45"/>
      <c r="T36" s="45"/>
      <c r="U36" s="45"/>
      <c r="V36" s="45"/>
    </row>
    <row r="37" ht="22.5" customHeight="1">
      <c r="A37" s="47"/>
      <c r="B37" s="48"/>
      <c r="C37" s="49">
        <f>sum(CAN_I_AFFORD_IT?_3[[#HEADERS],[#DATA],[Cost]])</f>
        <v>200</v>
      </c>
      <c r="D37" s="50">
        <f>A19-CAN_I_AFFORD_IT?_3[[#TOTALS],[Cost]]</f>
        <v>741.7332</v>
      </c>
      <c r="E37" s="45"/>
      <c r="F37" s="45"/>
      <c r="G37" s="45"/>
      <c r="H37" s="45"/>
      <c r="I37" s="3"/>
      <c r="J37" s="4"/>
      <c r="K37" s="51"/>
      <c r="L37" s="6"/>
      <c r="M37" s="7"/>
      <c r="N37" s="7"/>
      <c r="O37" s="45"/>
      <c r="P37" s="45"/>
      <c r="Q37" s="45"/>
      <c r="R37" s="45"/>
      <c r="S37" s="45"/>
      <c r="T37" s="45"/>
      <c r="U37" s="45"/>
      <c r="V37" s="45"/>
    </row>
    <row r="38" ht="22.5" customHeight="1">
      <c r="D38" s="44"/>
      <c r="E38" s="45"/>
      <c r="F38" s="45"/>
      <c r="G38" s="45"/>
      <c r="H38" s="45"/>
      <c r="I38" s="3"/>
      <c r="J38" s="4"/>
      <c r="K38" s="51"/>
      <c r="L38" s="6"/>
      <c r="M38" s="7"/>
      <c r="N38" s="7"/>
      <c r="O38" s="45"/>
      <c r="P38" s="45"/>
      <c r="Q38" s="45"/>
      <c r="R38" s="45"/>
      <c r="S38" s="45"/>
      <c r="T38" s="45"/>
      <c r="U38" s="45"/>
      <c r="V38" s="45"/>
    </row>
    <row r="39" ht="22.5" customHeight="1">
      <c r="D39" s="44"/>
      <c r="E39" s="45"/>
      <c r="F39" s="45"/>
      <c r="G39" s="45"/>
      <c r="H39" s="45"/>
      <c r="I39" s="3"/>
      <c r="J39" s="4"/>
      <c r="K39" s="51"/>
      <c r="L39" s="6"/>
      <c r="M39" s="7"/>
      <c r="N39" s="7"/>
      <c r="O39" s="45"/>
      <c r="P39" s="45"/>
      <c r="Q39" s="45"/>
      <c r="R39" s="45"/>
      <c r="S39" s="45"/>
      <c r="T39" s="45"/>
      <c r="U39" s="45"/>
      <c r="V39" s="45"/>
    </row>
    <row r="40" ht="22.5" customHeight="1">
      <c r="D40" s="44"/>
      <c r="E40" s="45"/>
      <c r="F40" s="45"/>
      <c r="G40" s="45"/>
      <c r="H40" s="45"/>
      <c r="I40" s="3"/>
      <c r="J40" s="4"/>
      <c r="K40" s="51"/>
      <c r="L40" s="6"/>
      <c r="M40" s="7"/>
      <c r="N40" s="7"/>
      <c r="O40" s="45"/>
      <c r="P40" s="45"/>
      <c r="Q40" s="45"/>
      <c r="R40" s="45"/>
      <c r="S40" s="45"/>
      <c r="T40" s="45"/>
      <c r="U40" s="45"/>
      <c r="V40" s="45"/>
    </row>
    <row r="41" ht="22.5" customHeight="1">
      <c r="D41" s="44"/>
      <c r="E41" s="45"/>
      <c r="F41" s="45"/>
      <c r="G41" s="45"/>
      <c r="H41" s="45"/>
      <c r="I41" s="3"/>
      <c r="J41" s="4"/>
      <c r="K41" s="51"/>
      <c r="L41" s="6"/>
      <c r="M41" s="7"/>
      <c r="N41" s="7"/>
      <c r="O41" s="45"/>
      <c r="P41" s="45"/>
      <c r="Q41" s="45"/>
      <c r="R41" s="45"/>
      <c r="S41" s="45"/>
      <c r="T41" s="45"/>
      <c r="U41" s="45"/>
      <c r="V41" s="45"/>
    </row>
    <row r="42" ht="22.5" customHeight="1">
      <c r="D42" s="44"/>
      <c r="E42" s="45"/>
      <c r="F42" s="45"/>
      <c r="G42" s="45"/>
      <c r="H42" s="45"/>
      <c r="I42" s="3"/>
      <c r="J42" s="4"/>
      <c r="K42" s="51"/>
      <c r="L42" s="6"/>
      <c r="M42" s="7"/>
      <c r="N42" s="7"/>
      <c r="O42" s="45"/>
      <c r="P42" s="45"/>
      <c r="Q42" s="45"/>
      <c r="R42" s="45"/>
      <c r="S42" s="45"/>
      <c r="T42" s="45"/>
      <c r="U42" s="45"/>
      <c r="V42" s="45"/>
    </row>
    <row r="43" ht="22.5" customHeight="1">
      <c r="D43" s="44"/>
      <c r="E43" s="45"/>
      <c r="F43" s="45"/>
      <c r="G43" s="45"/>
      <c r="H43" s="45"/>
      <c r="I43" s="3"/>
      <c r="J43" s="4"/>
      <c r="K43" s="51"/>
      <c r="L43" s="6"/>
      <c r="M43" s="7"/>
      <c r="N43" s="7"/>
      <c r="O43" s="45"/>
      <c r="P43" s="45"/>
      <c r="Q43" s="45"/>
      <c r="R43" s="45"/>
      <c r="S43" s="45"/>
      <c r="T43" s="45"/>
      <c r="U43" s="45"/>
      <c r="V43" s="45"/>
    </row>
    <row r="44" ht="22.5" customHeight="1">
      <c r="D44" s="44"/>
      <c r="E44" s="45"/>
      <c r="F44" s="45"/>
      <c r="G44" s="45"/>
      <c r="H44" s="45"/>
      <c r="I44" s="3"/>
      <c r="J44" s="4"/>
      <c r="K44" s="51"/>
      <c r="L44" s="6"/>
      <c r="M44" s="7"/>
      <c r="N44" s="7"/>
      <c r="O44" s="45"/>
      <c r="P44" s="45"/>
      <c r="Q44" s="45"/>
      <c r="R44" s="45"/>
      <c r="S44" s="45"/>
      <c r="T44" s="45"/>
      <c r="U44" s="45"/>
      <c r="V44" s="45"/>
    </row>
    <row r="45" ht="22.5" customHeight="1">
      <c r="D45" s="44"/>
      <c r="E45" s="45"/>
      <c r="F45" s="45"/>
      <c r="G45" s="45"/>
      <c r="H45" s="45"/>
      <c r="I45" s="3"/>
      <c r="J45" s="4"/>
      <c r="K45" s="51"/>
      <c r="L45" s="6"/>
      <c r="M45" s="7"/>
      <c r="N45" s="7"/>
      <c r="O45" s="45"/>
      <c r="P45" s="45"/>
      <c r="Q45" s="45"/>
      <c r="R45" s="45"/>
      <c r="S45" s="45"/>
      <c r="T45" s="45"/>
      <c r="U45" s="45"/>
      <c r="V45" s="45"/>
    </row>
    <row r="46" ht="22.5" customHeight="1">
      <c r="D46" s="44"/>
      <c r="E46" s="45"/>
      <c r="F46" s="45"/>
      <c r="G46" s="45"/>
      <c r="H46" s="45"/>
      <c r="I46" s="3"/>
      <c r="J46" s="4"/>
      <c r="K46" s="51"/>
      <c r="L46" s="6"/>
      <c r="M46" s="7"/>
      <c r="N46" s="7"/>
      <c r="O46" s="45"/>
      <c r="P46" s="45"/>
      <c r="Q46" s="45"/>
      <c r="R46" s="45"/>
      <c r="S46" s="45"/>
      <c r="T46" s="45"/>
      <c r="U46" s="45"/>
      <c r="V46" s="45"/>
    </row>
    <row r="47" ht="22.5" customHeight="1">
      <c r="D47" s="44"/>
      <c r="E47" s="45"/>
      <c r="F47" s="45"/>
      <c r="G47" s="45"/>
      <c r="H47" s="45"/>
      <c r="I47" s="3"/>
      <c r="J47" s="4"/>
      <c r="K47" s="51"/>
      <c r="L47" s="6"/>
      <c r="M47" s="7"/>
      <c r="N47" s="7"/>
      <c r="O47" s="45"/>
      <c r="P47" s="45"/>
      <c r="Q47" s="45"/>
      <c r="R47" s="45"/>
      <c r="S47" s="45"/>
      <c r="T47" s="45"/>
      <c r="U47" s="45"/>
      <c r="V47" s="45"/>
    </row>
    <row r="48" ht="22.5" customHeight="1">
      <c r="D48" s="44"/>
      <c r="E48" s="45"/>
      <c r="F48" s="45"/>
      <c r="G48" s="45"/>
      <c r="H48" s="45"/>
      <c r="I48" s="3"/>
      <c r="J48" s="4"/>
      <c r="K48" s="51"/>
      <c r="L48" s="6"/>
      <c r="M48" s="7"/>
      <c r="N48" s="7"/>
      <c r="O48" s="45"/>
      <c r="P48" s="45"/>
      <c r="Q48" s="45"/>
      <c r="R48" s="45"/>
      <c r="S48" s="45"/>
      <c r="T48" s="45"/>
      <c r="U48" s="45"/>
      <c r="V48" s="45"/>
    </row>
    <row r="49" ht="22.5" customHeight="1">
      <c r="D49" s="44"/>
      <c r="E49" s="45"/>
      <c r="F49" s="45"/>
      <c r="G49" s="45"/>
      <c r="H49" s="45"/>
      <c r="I49" s="3"/>
      <c r="J49" s="4"/>
      <c r="K49" s="51"/>
      <c r="L49" s="6"/>
      <c r="M49" s="7"/>
      <c r="N49" s="7"/>
      <c r="O49" s="45"/>
      <c r="P49" s="45"/>
      <c r="Q49" s="45"/>
      <c r="R49" s="45"/>
      <c r="S49" s="45"/>
      <c r="T49" s="45"/>
      <c r="U49" s="45"/>
      <c r="V49" s="45"/>
    </row>
    <row r="50" ht="22.5" customHeight="1">
      <c r="D50" s="44"/>
      <c r="E50" s="45"/>
      <c r="F50" s="45"/>
      <c r="G50" s="45"/>
      <c r="H50" s="45"/>
      <c r="I50" s="3"/>
      <c r="J50" s="4"/>
      <c r="K50" s="51"/>
      <c r="L50" s="6"/>
      <c r="M50" s="7"/>
      <c r="N50" s="7"/>
      <c r="O50" s="45"/>
      <c r="P50" s="45"/>
      <c r="Q50" s="45"/>
      <c r="R50" s="45"/>
      <c r="S50" s="45"/>
      <c r="T50" s="45"/>
      <c r="U50" s="45"/>
      <c r="V50" s="45"/>
    </row>
    <row r="51" ht="22.5" customHeight="1">
      <c r="D51" s="44"/>
      <c r="E51" s="45"/>
      <c r="F51" s="45"/>
      <c r="G51" s="45"/>
      <c r="H51" s="45"/>
      <c r="I51" s="3"/>
      <c r="J51" s="4"/>
      <c r="K51" s="51"/>
      <c r="L51" s="6"/>
      <c r="M51" s="7"/>
      <c r="N51" s="7"/>
      <c r="O51" s="45"/>
      <c r="P51" s="45"/>
      <c r="Q51" s="45"/>
      <c r="R51" s="45"/>
      <c r="S51" s="45"/>
      <c r="T51" s="45"/>
      <c r="U51" s="45"/>
      <c r="V51" s="45"/>
    </row>
    <row r="52" ht="22.5" customHeight="1">
      <c r="D52" s="44"/>
      <c r="E52" s="45"/>
      <c r="F52" s="45"/>
      <c r="G52" s="45"/>
      <c r="H52" s="45"/>
      <c r="I52" s="3"/>
      <c r="J52" s="4"/>
      <c r="K52" s="51"/>
      <c r="L52" s="6"/>
      <c r="M52" s="7"/>
      <c r="N52" s="7"/>
      <c r="O52" s="45"/>
      <c r="P52" s="45"/>
      <c r="Q52" s="45"/>
      <c r="R52" s="45"/>
      <c r="S52" s="45"/>
      <c r="T52" s="45"/>
      <c r="U52" s="45"/>
      <c r="V52" s="45"/>
    </row>
    <row r="53" ht="22.5" customHeight="1">
      <c r="D53" s="44"/>
      <c r="E53" s="45"/>
      <c r="F53" s="45"/>
      <c r="G53" s="45"/>
      <c r="H53" s="45"/>
      <c r="I53" s="3"/>
      <c r="J53" s="4"/>
      <c r="K53" s="51"/>
      <c r="L53" s="6"/>
      <c r="M53" s="7"/>
      <c r="N53" s="7"/>
      <c r="O53" s="45"/>
      <c r="P53" s="45"/>
      <c r="Q53" s="45"/>
      <c r="R53" s="45"/>
      <c r="S53" s="45"/>
      <c r="T53" s="45"/>
      <c r="U53" s="45"/>
      <c r="V53" s="45"/>
    </row>
    <row r="54" ht="22.5" customHeight="1">
      <c r="D54" s="44"/>
      <c r="E54" s="45"/>
      <c r="F54" s="45"/>
      <c r="G54" s="45"/>
      <c r="H54" s="45"/>
      <c r="I54" s="3"/>
      <c r="J54" s="4"/>
      <c r="K54" s="51"/>
      <c r="L54" s="6"/>
      <c r="M54" s="7"/>
      <c r="N54" s="7"/>
      <c r="O54" s="45"/>
      <c r="P54" s="45"/>
      <c r="Q54" s="45"/>
      <c r="R54" s="45"/>
      <c r="S54" s="45"/>
      <c r="T54" s="45"/>
      <c r="U54" s="45"/>
      <c r="V54" s="45"/>
    </row>
    <row r="55" ht="22.5" customHeight="1">
      <c r="D55" s="44"/>
      <c r="E55" s="45"/>
      <c r="F55" s="45"/>
      <c r="G55" s="45"/>
      <c r="H55" s="45"/>
      <c r="I55" s="3"/>
      <c r="J55" s="4"/>
      <c r="K55" s="51"/>
      <c r="L55" s="6"/>
      <c r="M55" s="7"/>
      <c r="N55" s="7"/>
      <c r="O55" s="45"/>
      <c r="P55" s="45"/>
      <c r="Q55" s="45"/>
      <c r="R55" s="45"/>
      <c r="S55" s="45"/>
      <c r="T55" s="45"/>
      <c r="U55" s="45"/>
      <c r="V55" s="45"/>
    </row>
    <row r="56" ht="22.5" customHeight="1">
      <c r="D56" s="44"/>
      <c r="E56" s="45"/>
      <c r="F56" s="45"/>
      <c r="G56" s="45"/>
      <c r="H56" s="45"/>
      <c r="I56" s="3"/>
      <c r="J56" s="4"/>
      <c r="K56" s="51"/>
      <c r="L56" s="6"/>
      <c r="M56" s="7"/>
      <c r="N56" s="7"/>
      <c r="O56" s="45"/>
      <c r="P56" s="45"/>
      <c r="Q56" s="45"/>
      <c r="R56" s="45"/>
      <c r="S56" s="45"/>
      <c r="T56" s="45"/>
      <c r="U56" s="45"/>
      <c r="V56" s="45"/>
    </row>
    <row r="57" ht="22.5" customHeight="1">
      <c r="D57" s="44"/>
      <c r="E57" s="45"/>
      <c r="F57" s="45"/>
      <c r="G57" s="45"/>
      <c r="H57" s="45"/>
      <c r="I57" s="3"/>
      <c r="J57" s="4"/>
      <c r="K57" s="51"/>
      <c r="L57" s="6"/>
      <c r="M57" s="7"/>
      <c r="N57" s="7"/>
      <c r="O57" s="45"/>
      <c r="P57" s="45"/>
      <c r="Q57" s="45"/>
      <c r="R57" s="45"/>
      <c r="S57" s="45"/>
      <c r="T57" s="45"/>
      <c r="U57" s="45"/>
      <c r="V57" s="45"/>
    </row>
    <row r="58" ht="22.5" customHeight="1">
      <c r="D58" s="44"/>
      <c r="E58" s="45"/>
      <c r="F58" s="45"/>
      <c r="G58" s="45"/>
      <c r="H58" s="45"/>
      <c r="I58" s="3"/>
      <c r="J58" s="4"/>
      <c r="K58" s="51"/>
      <c r="L58" s="6"/>
      <c r="M58" s="7"/>
      <c r="N58" s="7"/>
      <c r="O58" s="45"/>
      <c r="P58" s="45"/>
      <c r="Q58" s="45"/>
      <c r="R58" s="45"/>
      <c r="S58" s="45"/>
      <c r="T58" s="45"/>
      <c r="U58" s="45"/>
      <c r="V58" s="45"/>
    </row>
    <row r="59" ht="22.5" customHeight="1">
      <c r="D59" s="44"/>
      <c r="E59" s="45"/>
      <c r="F59" s="45"/>
      <c r="G59" s="45"/>
      <c r="H59" s="45"/>
      <c r="I59" s="3"/>
      <c r="J59" s="4"/>
      <c r="K59" s="51"/>
      <c r="L59" s="6"/>
      <c r="M59" s="7"/>
      <c r="N59" s="7"/>
      <c r="O59" s="45"/>
      <c r="P59" s="45"/>
      <c r="Q59" s="45"/>
      <c r="R59" s="45"/>
      <c r="S59" s="45"/>
      <c r="T59" s="45"/>
      <c r="U59" s="45"/>
      <c r="V59" s="45"/>
    </row>
    <row r="60" ht="22.5" customHeight="1">
      <c r="D60" s="44"/>
      <c r="E60" s="45"/>
      <c r="F60" s="45"/>
      <c r="G60" s="45"/>
      <c r="H60" s="45"/>
      <c r="I60" s="3"/>
      <c r="J60" s="4"/>
      <c r="K60" s="51"/>
      <c r="L60" s="6"/>
      <c r="M60" s="7"/>
      <c r="N60" s="7"/>
      <c r="O60" s="45"/>
      <c r="P60" s="45"/>
      <c r="Q60" s="45"/>
      <c r="R60" s="45"/>
      <c r="S60" s="45"/>
      <c r="T60" s="45"/>
      <c r="U60" s="45"/>
      <c r="V60" s="45"/>
    </row>
    <row r="61" ht="22.5" customHeight="1">
      <c r="D61" s="44"/>
      <c r="E61" s="45"/>
      <c r="F61" s="45"/>
      <c r="G61" s="45"/>
      <c r="H61" s="45"/>
      <c r="I61" s="3"/>
      <c r="J61" s="4"/>
      <c r="K61" s="51"/>
      <c r="L61" s="6"/>
      <c r="M61" s="7"/>
      <c r="N61" s="7"/>
      <c r="O61" s="45"/>
      <c r="P61" s="45"/>
      <c r="Q61" s="45"/>
      <c r="R61" s="45"/>
      <c r="S61" s="45"/>
      <c r="T61" s="45"/>
      <c r="U61" s="45"/>
      <c r="V61" s="45"/>
    </row>
    <row r="62" ht="22.5" customHeight="1">
      <c r="D62" s="44"/>
      <c r="E62" s="45"/>
      <c r="F62" s="45"/>
      <c r="G62" s="45"/>
      <c r="H62" s="45"/>
      <c r="I62" s="17"/>
      <c r="J62" s="18">
        <f>SUM(EXPENSES_3[Column 2])</f>
        <v>222.6952</v>
      </c>
      <c r="K62" s="19"/>
      <c r="L62" s="18"/>
      <c r="M62" s="19"/>
      <c r="N62" s="19"/>
      <c r="O62" s="45"/>
      <c r="P62" s="45"/>
      <c r="Q62" s="45"/>
      <c r="R62" s="45"/>
      <c r="S62" s="45"/>
      <c r="T62" s="45"/>
      <c r="U62" s="45"/>
      <c r="V62" s="45"/>
    </row>
    <row r="63">
      <c r="D63" s="44"/>
      <c r="E63" s="45"/>
      <c r="F63" s="45"/>
      <c r="G63" s="45"/>
      <c r="H63" s="45"/>
      <c r="I63" s="21"/>
      <c r="J63" s="22"/>
      <c r="K63" s="20"/>
      <c r="L63" s="22"/>
      <c r="M63" s="20"/>
      <c r="N63" s="20"/>
      <c r="O63" s="45"/>
      <c r="P63" s="45"/>
      <c r="Q63" s="45"/>
      <c r="R63" s="45"/>
      <c r="S63" s="45"/>
      <c r="T63" s="45"/>
      <c r="U63" s="45"/>
      <c r="V63" s="45"/>
    </row>
    <row r="64">
      <c r="D64" s="44"/>
      <c r="E64" s="45"/>
      <c r="F64" s="45"/>
      <c r="G64" s="45"/>
      <c r="H64" s="45"/>
      <c r="I64" s="21"/>
      <c r="J64" s="22"/>
      <c r="K64" s="20"/>
      <c r="L64" s="22"/>
      <c r="M64" s="20"/>
      <c r="N64" s="20"/>
      <c r="O64" s="45"/>
      <c r="P64" s="45"/>
      <c r="Q64" s="45"/>
      <c r="R64" s="45"/>
      <c r="S64" s="45"/>
      <c r="T64" s="45"/>
      <c r="U64" s="45"/>
      <c r="V64" s="45"/>
    </row>
    <row r="65">
      <c r="D65" s="44"/>
      <c r="E65" s="45"/>
      <c r="F65" s="45"/>
      <c r="G65" s="45"/>
      <c r="H65" s="45"/>
      <c r="I65" s="21"/>
      <c r="J65" s="22"/>
      <c r="K65" s="20"/>
      <c r="L65" s="22"/>
      <c r="M65" s="20"/>
      <c r="N65" s="20"/>
      <c r="O65" s="45"/>
      <c r="P65" s="45"/>
      <c r="Q65" s="45"/>
      <c r="R65" s="45"/>
      <c r="S65" s="45"/>
      <c r="T65" s="45"/>
      <c r="U65" s="45"/>
      <c r="V65" s="45"/>
    </row>
    <row r="66">
      <c r="D66" s="44"/>
      <c r="E66" s="45"/>
      <c r="F66" s="45"/>
      <c r="G66" s="45"/>
      <c r="H66" s="45"/>
      <c r="I66" s="44"/>
      <c r="J66" s="44"/>
      <c r="K66" s="45"/>
      <c r="L66" s="44"/>
      <c r="M66" s="45"/>
      <c r="N66" s="45"/>
      <c r="O66" s="45"/>
      <c r="P66" s="45"/>
      <c r="Q66" s="45"/>
      <c r="R66" s="45"/>
      <c r="S66" s="45"/>
      <c r="T66" s="45"/>
      <c r="U66" s="45"/>
      <c r="V66" s="45"/>
    </row>
    <row r="67">
      <c r="D67" s="44"/>
      <c r="E67" s="45"/>
      <c r="F67" s="45"/>
      <c r="G67" s="45"/>
      <c r="H67" s="45"/>
      <c r="I67" s="44"/>
      <c r="J67" s="44"/>
      <c r="K67" s="45"/>
      <c r="L67" s="44"/>
      <c r="M67" s="45"/>
      <c r="N67" s="45"/>
      <c r="O67" s="45"/>
      <c r="P67" s="45"/>
      <c r="Q67" s="45"/>
      <c r="R67" s="45"/>
      <c r="S67" s="45"/>
      <c r="T67" s="45"/>
      <c r="U67" s="45"/>
      <c r="V67" s="45"/>
    </row>
    <row r="68">
      <c r="D68" s="44"/>
      <c r="E68" s="45"/>
      <c r="F68" s="45"/>
      <c r="G68" s="45"/>
      <c r="H68" s="45"/>
      <c r="I68" s="44"/>
      <c r="J68" s="44"/>
      <c r="K68" s="45"/>
      <c r="L68" s="44"/>
      <c r="M68" s="45"/>
      <c r="N68" s="45"/>
      <c r="O68" s="45"/>
      <c r="P68" s="45"/>
      <c r="Q68" s="45"/>
      <c r="R68" s="45"/>
      <c r="S68" s="45"/>
      <c r="T68" s="45"/>
      <c r="U68" s="45"/>
      <c r="V68" s="45"/>
    </row>
    <row r="69">
      <c r="D69" s="44"/>
      <c r="E69" s="45"/>
      <c r="F69" s="45"/>
      <c r="G69" s="45"/>
      <c r="H69" s="45"/>
      <c r="I69" s="44"/>
      <c r="J69" s="44"/>
      <c r="K69" s="45"/>
      <c r="L69" s="44"/>
      <c r="M69" s="45"/>
      <c r="N69" s="45"/>
      <c r="O69" s="45"/>
      <c r="P69" s="45"/>
      <c r="Q69" s="45"/>
      <c r="R69" s="45"/>
      <c r="S69" s="45"/>
      <c r="T69" s="45"/>
      <c r="U69" s="45"/>
      <c r="V69" s="45"/>
    </row>
    <row r="70">
      <c r="D70" s="44"/>
      <c r="E70" s="45"/>
      <c r="F70" s="45"/>
      <c r="G70" s="45"/>
      <c r="H70" s="45"/>
      <c r="I70" s="44"/>
      <c r="J70" s="44"/>
      <c r="K70" s="45"/>
      <c r="L70" s="44"/>
      <c r="M70" s="45"/>
      <c r="N70" s="45"/>
      <c r="O70" s="45"/>
      <c r="P70" s="45"/>
      <c r="Q70" s="45"/>
      <c r="R70" s="45"/>
      <c r="S70" s="45"/>
      <c r="T70" s="45"/>
      <c r="U70" s="45"/>
      <c r="V70" s="45"/>
    </row>
    <row r="71">
      <c r="D71" s="44"/>
      <c r="E71" s="45"/>
      <c r="F71" s="45"/>
      <c r="G71" s="45"/>
      <c r="H71" s="45"/>
      <c r="I71" s="44"/>
      <c r="J71" s="44"/>
      <c r="K71" s="45"/>
      <c r="L71" s="44"/>
      <c r="M71" s="45"/>
      <c r="N71" s="45"/>
      <c r="O71" s="45"/>
      <c r="P71" s="45"/>
      <c r="Q71" s="45"/>
      <c r="R71" s="45"/>
      <c r="S71" s="45"/>
      <c r="T71" s="45"/>
      <c r="U71" s="45"/>
      <c r="V71" s="45"/>
    </row>
    <row r="72">
      <c r="D72" s="44"/>
      <c r="E72" s="45"/>
      <c r="F72" s="45"/>
      <c r="G72" s="45"/>
      <c r="H72" s="45"/>
      <c r="I72" s="44"/>
      <c r="J72" s="44"/>
      <c r="K72" s="45"/>
      <c r="L72" s="44"/>
      <c r="M72" s="45"/>
      <c r="N72" s="45"/>
      <c r="O72" s="45"/>
      <c r="P72" s="45"/>
      <c r="Q72" s="45"/>
      <c r="R72" s="45"/>
      <c r="S72" s="45"/>
      <c r="T72" s="45"/>
      <c r="U72" s="45"/>
      <c r="V72" s="45"/>
    </row>
    <row r="73">
      <c r="D73" s="44"/>
      <c r="E73" s="45"/>
      <c r="F73" s="45"/>
      <c r="G73" s="45"/>
      <c r="H73" s="45"/>
      <c r="I73" s="44"/>
      <c r="J73" s="44"/>
      <c r="K73" s="45"/>
      <c r="L73" s="44"/>
      <c r="M73" s="45"/>
      <c r="N73" s="45"/>
      <c r="O73" s="45"/>
      <c r="P73" s="45"/>
      <c r="Q73" s="45"/>
      <c r="R73" s="45"/>
      <c r="S73" s="45"/>
      <c r="T73" s="45"/>
      <c r="U73" s="45"/>
      <c r="V73" s="45"/>
    </row>
    <row r="74">
      <c r="D74" s="44"/>
      <c r="E74" s="45"/>
      <c r="F74" s="45"/>
      <c r="G74" s="45"/>
      <c r="H74" s="45"/>
      <c r="I74" s="44"/>
      <c r="J74" s="44"/>
      <c r="K74" s="45"/>
      <c r="L74" s="44"/>
      <c r="M74" s="45"/>
      <c r="N74" s="45"/>
      <c r="O74" s="45"/>
      <c r="P74" s="45"/>
      <c r="Q74" s="45"/>
      <c r="R74" s="45"/>
      <c r="S74" s="45"/>
      <c r="T74" s="45"/>
      <c r="U74" s="45"/>
      <c r="V74" s="45"/>
    </row>
    <row r="75">
      <c r="D75" s="44"/>
      <c r="E75" s="45"/>
      <c r="F75" s="45"/>
      <c r="G75" s="45"/>
      <c r="H75" s="45"/>
      <c r="I75" s="44"/>
      <c r="J75" s="44"/>
      <c r="K75" s="45"/>
      <c r="L75" s="44"/>
      <c r="M75" s="45"/>
      <c r="N75" s="45"/>
      <c r="O75" s="45"/>
      <c r="P75" s="45"/>
      <c r="Q75" s="45"/>
      <c r="R75" s="45"/>
      <c r="S75" s="45"/>
      <c r="T75" s="45"/>
      <c r="U75" s="45"/>
      <c r="V75" s="45"/>
    </row>
    <row r="76">
      <c r="D76" s="44"/>
      <c r="E76" s="45"/>
      <c r="F76" s="45"/>
      <c r="G76" s="45"/>
      <c r="H76" s="45"/>
      <c r="I76" s="44"/>
      <c r="J76" s="44"/>
      <c r="K76" s="45"/>
      <c r="L76" s="44"/>
      <c r="M76" s="45"/>
      <c r="N76" s="45"/>
      <c r="O76" s="45"/>
      <c r="P76" s="45"/>
      <c r="Q76" s="45"/>
      <c r="R76" s="45"/>
      <c r="S76" s="45"/>
      <c r="T76" s="45"/>
      <c r="U76" s="45"/>
      <c r="V76" s="45"/>
    </row>
    <row r="77">
      <c r="D77" s="44"/>
      <c r="E77" s="45"/>
      <c r="F77" s="45"/>
      <c r="G77" s="45"/>
      <c r="H77" s="45"/>
      <c r="I77" s="44"/>
      <c r="J77" s="44"/>
      <c r="K77" s="45"/>
      <c r="L77" s="44"/>
      <c r="M77" s="45"/>
      <c r="N77" s="45"/>
      <c r="O77" s="45"/>
      <c r="P77" s="45"/>
      <c r="Q77" s="45"/>
      <c r="R77" s="45"/>
      <c r="S77" s="45"/>
      <c r="T77" s="45"/>
      <c r="U77" s="45"/>
      <c r="V77" s="45"/>
    </row>
    <row r="78">
      <c r="D78" s="44"/>
      <c r="E78" s="45"/>
      <c r="F78" s="45"/>
      <c r="G78" s="45"/>
      <c r="H78" s="45"/>
      <c r="I78" s="44"/>
      <c r="J78" s="44"/>
      <c r="K78" s="45"/>
      <c r="L78" s="44"/>
      <c r="M78" s="45"/>
      <c r="N78" s="45"/>
      <c r="O78" s="45"/>
      <c r="P78" s="45"/>
      <c r="Q78" s="45"/>
      <c r="R78" s="45"/>
      <c r="S78" s="45"/>
      <c r="T78" s="45"/>
      <c r="U78" s="45"/>
      <c r="V78" s="45"/>
    </row>
    <row r="79">
      <c r="D79" s="44"/>
      <c r="E79" s="45"/>
      <c r="F79" s="45"/>
      <c r="G79" s="45"/>
      <c r="H79" s="45"/>
      <c r="I79" s="44"/>
      <c r="J79" s="44"/>
      <c r="K79" s="45"/>
      <c r="L79" s="44"/>
      <c r="M79" s="45"/>
      <c r="N79" s="45"/>
      <c r="O79" s="45"/>
      <c r="P79" s="45"/>
      <c r="Q79" s="45"/>
      <c r="R79" s="45"/>
      <c r="S79" s="45"/>
      <c r="T79" s="45"/>
      <c r="U79" s="45"/>
      <c r="V79" s="45"/>
    </row>
    <row r="80">
      <c r="D80" s="44"/>
      <c r="E80" s="45"/>
      <c r="F80" s="45"/>
      <c r="G80" s="45"/>
      <c r="H80" s="45"/>
      <c r="I80" s="44"/>
      <c r="J80" s="44"/>
      <c r="K80" s="45"/>
      <c r="L80" s="44"/>
      <c r="M80" s="45"/>
      <c r="N80" s="45"/>
      <c r="O80" s="45"/>
      <c r="P80" s="45"/>
      <c r="Q80" s="45"/>
      <c r="R80" s="45"/>
      <c r="S80" s="45"/>
      <c r="T80" s="45"/>
      <c r="U80" s="45"/>
      <c r="V80" s="45"/>
    </row>
    <row r="81">
      <c r="D81" s="44"/>
      <c r="E81" s="45"/>
      <c r="F81" s="45"/>
      <c r="G81" s="45"/>
      <c r="H81" s="45"/>
      <c r="I81" s="44"/>
      <c r="J81" s="44"/>
      <c r="K81" s="45"/>
      <c r="L81" s="44"/>
      <c r="M81" s="45"/>
      <c r="N81" s="45"/>
      <c r="O81" s="45"/>
      <c r="P81" s="45"/>
      <c r="Q81" s="45"/>
      <c r="R81" s="45"/>
      <c r="S81" s="45"/>
      <c r="T81" s="45"/>
      <c r="U81" s="45"/>
      <c r="V81" s="45"/>
    </row>
  </sheetData>
  <conditionalFormatting sqref="T1:T15">
    <cfRule type="cellIs" dxfId="12" priority="1" operator="lessThan">
      <formula>0</formula>
    </cfRule>
  </conditionalFormatting>
  <conditionalFormatting sqref="T1:T15">
    <cfRule type="cellIs" dxfId="13" priority="2" operator="equal">
      <formula>0</formula>
    </cfRule>
  </conditionalFormatting>
  <conditionalFormatting sqref="T1:T15">
    <cfRule type="cellIs" dxfId="14" priority="3" operator="greaterThan">
      <formula>0</formula>
    </cfRule>
  </conditionalFormatting>
  <conditionalFormatting sqref="A19">
    <cfRule type="notContainsBlanks" dxfId="15" priority="4">
      <formula>LEN(TRIM(A19))&gt;0</formula>
    </cfRule>
  </conditionalFormatting>
  <dataValidations>
    <dataValidation type="custom" allowBlank="1" showDropDown="1" sqref="T2:T15">
      <formula1>AND(ISNUMBER(T2),(NOT(OR(NOT(ISERROR(DATEVALUE(T2))), AND(ISNUMBER(T2), LEFT(CELL("format", T2))="D")))))</formula1>
    </dataValidation>
    <dataValidation type="custom" allowBlank="1" showDropDown="1" sqref="B2:B15 C24:C36 J2:J61">
      <formula1>AND(ISNUMBER(B2),(NOT(OR(NOT(ISERROR(DATEVALUE(B2))), AND(ISNUMBER(B2), LEFT(CELL("format", B2))="D")))))</formula1>
    </dataValidation>
    <dataValidation type="custom" allowBlank="1" showDropDown="1" sqref="D2:D15 L2:L61">
      <formula1>OR(NOT(ISERROR(DATEVALUE(D2))), AND(ISNUMBER(D2), LEFT(CELL("format", D2))="D"))</formula1>
    </dataValidation>
    <dataValidation allowBlank="1" showDropDown="1" sqref="A2:A15 G2:G15 A24:A36 I2:I61 N2:N61"/>
    <dataValidation type="custom" allowBlank="1" showDropDown="1" sqref="R2:S15">
      <formula1>AND(ISNUMBER(R2),(NOT(OR(NOT(ISERROR(DATEVALUE(R2))), AND(ISNUMBER(R2), LEFT(CELL("format", R2))="D")))))</formula1>
    </dataValidation>
    <dataValidation type="list" allowBlank="1" sqref="C2:C15">
      <formula1>"FXW Job,Zelle, Cashapp, Etc.,Other"</formula1>
    </dataValidation>
    <dataValidation type="list" allowBlank="1" sqref="B24:B36">
      <formula1>"Food,Transportation,Debt,Personal,Investment/Smart Finances,Health,Travel,Giving,Zelle, Cashapp, Etc.,Subscriptions"</formula1>
    </dataValidation>
    <dataValidation type="list" allowBlank="1" sqref="K2:K61">
      <formula1>"Food,Transportation,Debt,Personal,Investment/Smart Finances,Health,Travel,Unsure: FIND OUT,Giving,Zelle, Cashapp, Etc.,Subscriptions"</formula1>
    </dataValidation>
  </dataValidations>
  <drawing r:id="rId1"/>
  <tableParts count="4">
    <tablePart r:id="rId6"/>
    <tablePart r:id="rId7"/>
    <tablePart r:id="rId8"/>
    <tablePart r:id="rId9"/>
  </tableParts>
</worksheet>
</file>